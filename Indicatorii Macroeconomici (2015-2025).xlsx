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alia\Desktop\"/>
    </mc:Choice>
  </mc:AlternateContent>
  <xr:revisionPtr revIDLastSave="0" documentId="8_{73D923B5-1029-458B-8BD0-3DCB73D1973C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Date brute" sheetId="1" state="hidden" r:id="rId1"/>
    <sheet name="Analiza salariului mediu" sheetId="2" r:id="rId2"/>
    <sheet name="Inflatie" sheetId="5" r:id="rId3"/>
    <sheet name="Somaj" sheetId="6" r:id="rId4"/>
    <sheet name="Dashboard" sheetId="7" r:id="rId5"/>
    <sheet name="Concluzii" sheetId="3" r:id="rId6"/>
    <sheet name="Metodologie si Instrumente" sheetId="8" r:id="rId7"/>
  </sheets>
  <definedNames>
    <definedName name="Slicer_A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7" l="1"/>
  <c r="I5" i="7"/>
  <c r="E5" i="7"/>
  <c r="B17" i="6"/>
  <c r="B18" i="6"/>
  <c r="B19" i="6"/>
  <c r="B20" i="6"/>
  <c r="B21" i="6"/>
  <c r="B22" i="6"/>
  <c r="B23" i="6"/>
  <c r="B26" i="6" s="1"/>
  <c r="B24" i="6"/>
  <c r="G5" i="6"/>
  <c r="G6" i="6"/>
  <c r="G7" i="6"/>
  <c r="G8" i="6"/>
  <c r="G9" i="6"/>
  <c r="G10" i="6"/>
  <c r="G11" i="6"/>
  <c r="G12" i="6"/>
  <c r="G13" i="6"/>
  <c r="D5" i="6"/>
  <c r="F5" i="6" s="1"/>
  <c r="D6" i="6"/>
  <c r="F6" i="6" s="1"/>
  <c r="D7" i="6"/>
  <c r="E7" i="6" s="1"/>
  <c r="D8" i="6"/>
  <c r="E8" i="6" s="1"/>
  <c r="D9" i="6"/>
  <c r="F9" i="6" s="1"/>
  <c r="D10" i="6"/>
  <c r="E10" i="6" s="1"/>
  <c r="D11" i="6"/>
  <c r="E11" i="6" s="1"/>
  <c r="D12" i="6"/>
  <c r="E12" i="6" s="1"/>
  <c r="D13" i="6"/>
  <c r="F13" i="6" s="1"/>
  <c r="D14" i="6"/>
  <c r="F14" i="6" s="1"/>
  <c r="D4" i="6"/>
  <c r="E4" i="6" s="1"/>
  <c r="C6" i="6"/>
  <c r="C7" i="6"/>
  <c r="C8" i="6"/>
  <c r="C9" i="6"/>
  <c r="C10" i="6"/>
  <c r="C11" i="6"/>
  <c r="C12" i="6"/>
  <c r="C13" i="6"/>
  <c r="C14" i="6"/>
  <c r="C5" i="6"/>
  <c r="B16" i="5"/>
  <c r="B15" i="5"/>
  <c r="B14" i="5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4" i="1"/>
  <c r="E134" i="1"/>
  <c r="E4" i="1"/>
  <c r="E5" i="1"/>
  <c r="E6" i="1"/>
  <c r="E7" i="1"/>
  <c r="I7" i="1" s="1"/>
  <c r="K7" i="1" s="1"/>
  <c r="E8" i="1"/>
  <c r="E9" i="1"/>
  <c r="E10" i="1"/>
  <c r="E11" i="1"/>
  <c r="E12" i="1"/>
  <c r="E13" i="1"/>
  <c r="E14" i="1"/>
  <c r="E15" i="1"/>
  <c r="E16" i="1"/>
  <c r="E17" i="1"/>
  <c r="E18" i="1"/>
  <c r="I18" i="1" s="1"/>
  <c r="K18" i="1" s="1"/>
  <c r="E19" i="1"/>
  <c r="I19" i="1" s="1"/>
  <c r="K19" i="1" s="1"/>
  <c r="E20" i="1"/>
  <c r="E21" i="1"/>
  <c r="E22" i="1"/>
  <c r="E23" i="1"/>
  <c r="J23" i="1" s="1"/>
  <c r="L23" i="1" s="1"/>
  <c r="E24" i="1"/>
  <c r="J24" i="1" s="1"/>
  <c r="L24" i="1" s="1"/>
  <c r="E25" i="1"/>
  <c r="E26" i="1"/>
  <c r="E27" i="1"/>
  <c r="E28" i="1"/>
  <c r="E29" i="1"/>
  <c r="E30" i="1"/>
  <c r="E31" i="1"/>
  <c r="E32" i="1"/>
  <c r="E33" i="1"/>
  <c r="E34" i="1"/>
  <c r="E35" i="1"/>
  <c r="J35" i="1" s="1"/>
  <c r="L35" i="1" s="1"/>
  <c r="E36" i="1"/>
  <c r="E37" i="1"/>
  <c r="E38" i="1"/>
  <c r="E39" i="1"/>
  <c r="I39" i="1" s="1"/>
  <c r="K39" i="1" s="1"/>
  <c r="E40" i="1"/>
  <c r="E41" i="1"/>
  <c r="E42" i="1"/>
  <c r="E43" i="1"/>
  <c r="E44" i="1"/>
  <c r="E45" i="1"/>
  <c r="E46" i="1"/>
  <c r="E47" i="1"/>
  <c r="E48" i="1"/>
  <c r="E49" i="1"/>
  <c r="E50" i="1"/>
  <c r="I50" i="1" s="1"/>
  <c r="K50" i="1" s="1"/>
  <c r="E51" i="1"/>
  <c r="I51" i="1" s="1"/>
  <c r="K51" i="1" s="1"/>
  <c r="E52" i="1"/>
  <c r="E53" i="1"/>
  <c r="E54" i="1"/>
  <c r="E55" i="1"/>
  <c r="J55" i="1" s="1"/>
  <c r="L55" i="1" s="1"/>
  <c r="E56" i="1"/>
  <c r="J56" i="1" s="1"/>
  <c r="L56" i="1" s="1"/>
  <c r="E57" i="1"/>
  <c r="E58" i="1"/>
  <c r="E59" i="1"/>
  <c r="I59" i="1" s="1"/>
  <c r="K59" i="1" s="1"/>
  <c r="E60" i="1"/>
  <c r="E61" i="1"/>
  <c r="E62" i="1"/>
  <c r="E63" i="1"/>
  <c r="E64" i="1"/>
  <c r="E65" i="1"/>
  <c r="E66" i="1"/>
  <c r="E67" i="1"/>
  <c r="J67" i="1" s="1"/>
  <c r="L67" i="1" s="1"/>
  <c r="E68" i="1"/>
  <c r="E69" i="1"/>
  <c r="E70" i="1"/>
  <c r="E71" i="1"/>
  <c r="E72" i="1"/>
  <c r="E73" i="1"/>
  <c r="E74" i="1"/>
  <c r="E75" i="1"/>
  <c r="I75" i="1" s="1"/>
  <c r="K75" i="1" s="1"/>
  <c r="E76" i="1"/>
  <c r="E77" i="1"/>
  <c r="E78" i="1"/>
  <c r="J78" i="1" s="1"/>
  <c r="L78" i="1" s="1"/>
  <c r="E79" i="1"/>
  <c r="E80" i="1"/>
  <c r="E81" i="1"/>
  <c r="E82" i="1"/>
  <c r="E83" i="1"/>
  <c r="I83" i="1" s="1"/>
  <c r="K83" i="1" s="1"/>
  <c r="E84" i="1"/>
  <c r="E85" i="1"/>
  <c r="E86" i="1"/>
  <c r="E87" i="1"/>
  <c r="I87" i="1" s="1"/>
  <c r="K87" i="1" s="1"/>
  <c r="E88" i="1"/>
  <c r="J88" i="1" s="1"/>
  <c r="L88" i="1" s="1"/>
  <c r="E89" i="1"/>
  <c r="E90" i="1"/>
  <c r="I90" i="1" s="1"/>
  <c r="K90" i="1" s="1"/>
  <c r="E91" i="1"/>
  <c r="I91" i="1" s="1"/>
  <c r="K91" i="1" s="1"/>
  <c r="E92" i="1"/>
  <c r="E93" i="1"/>
  <c r="E94" i="1"/>
  <c r="E95" i="1"/>
  <c r="E96" i="1"/>
  <c r="I96" i="1" s="1"/>
  <c r="K96" i="1" s="1"/>
  <c r="E97" i="1"/>
  <c r="E98" i="1"/>
  <c r="I98" i="1" s="1"/>
  <c r="K98" i="1" s="1"/>
  <c r="E99" i="1"/>
  <c r="J99" i="1" s="1"/>
  <c r="L99" i="1" s="1"/>
  <c r="E100" i="1"/>
  <c r="I100" i="1" s="1"/>
  <c r="K100" i="1" s="1"/>
  <c r="E101" i="1"/>
  <c r="E102" i="1"/>
  <c r="E103" i="1"/>
  <c r="I103" i="1" s="1"/>
  <c r="K103" i="1" s="1"/>
  <c r="E104" i="1"/>
  <c r="I104" i="1" s="1"/>
  <c r="K104" i="1" s="1"/>
  <c r="E105" i="1"/>
  <c r="E106" i="1"/>
  <c r="I106" i="1" s="1"/>
  <c r="K106" i="1" s="1"/>
  <c r="E107" i="1"/>
  <c r="I107" i="1" s="1"/>
  <c r="K107" i="1" s="1"/>
  <c r="E108" i="1"/>
  <c r="I108" i="1" s="1"/>
  <c r="K108" i="1" s="1"/>
  <c r="E109" i="1"/>
  <c r="E110" i="1"/>
  <c r="I110" i="1" s="1"/>
  <c r="K110" i="1" s="1"/>
  <c r="E111" i="1"/>
  <c r="I111" i="1" s="1"/>
  <c r="K111" i="1" s="1"/>
  <c r="E112" i="1"/>
  <c r="I112" i="1" s="1"/>
  <c r="K112" i="1" s="1"/>
  <c r="E113" i="1"/>
  <c r="E114" i="1"/>
  <c r="E115" i="1"/>
  <c r="G115" i="1" s="1"/>
  <c r="E116" i="1"/>
  <c r="I116" i="1" s="1"/>
  <c r="K116" i="1" s="1"/>
  <c r="E117" i="1"/>
  <c r="E118" i="1"/>
  <c r="I118" i="1" s="1"/>
  <c r="K118" i="1" s="1"/>
  <c r="E119" i="1"/>
  <c r="G119" i="1" s="1"/>
  <c r="E120" i="1"/>
  <c r="J120" i="1" s="1"/>
  <c r="L120" i="1" s="1"/>
  <c r="E121" i="1"/>
  <c r="E122" i="1"/>
  <c r="E123" i="1"/>
  <c r="I123" i="1" s="1"/>
  <c r="K123" i="1" s="1"/>
  <c r="E124" i="1"/>
  <c r="I124" i="1" s="1"/>
  <c r="K124" i="1" s="1"/>
  <c r="E125" i="1"/>
  <c r="E126" i="1"/>
  <c r="J126" i="1" s="1"/>
  <c r="L126" i="1" s="1"/>
  <c r="E127" i="1"/>
  <c r="I127" i="1" s="1"/>
  <c r="K127" i="1" s="1"/>
  <c r="E128" i="1"/>
  <c r="I128" i="1" s="1"/>
  <c r="K128" i="1" s="1"/>
  <c r="E129" i="1"/>
  <c r="E130" i="1"/>
  <c r="G130" i="1" s="1"/>
  <c r="E131" i="1"/>
  <c r="G131" i="1" s="1"/>
  <c r="E132" i="1"/>
  <c r="I132" i="1" s="1"/>
  <c r="K132" i="1" s="1"/>
  <c r="E133" i="1"/>
  <c r="E3" i="1"/>
  <c r="H130" i="1" l="1"/>
  <c r="N130" i="1"/>
  <c r="G122" i="1"/>
  <c r="J122" i="1"/>
  <c r="L122" i="1" s="1"/>
  <c r="G114" i="1"/>
  <c r="G102" i="1"/>
  <c r="J102" i="1"/>
  <c r="L102" i="1" s="1"/>
  <c r="G94" i="1"/>
  <c r="G86" i="1"/>
  <c r="J86" i="1"/>
  <c r="L86" i="1" s="1"/>
  <c r="G82" i="1"/>
  <c r="G74" i="1"/>
  <c r="J74" i="1"/>
  <c r="L74" i="1" s="1"/>
  <c r="G66" i="1"/>
  <c r="G62" i="1"/>
  <c r="G58" i="1"/>
  <c r="J58" i="1"/>
  <c r="L58" i="1" s="1"/>
  <c r="G54" i="1"/>
  <c r="J54" i="1"/>
  <c r="L54" i="1" s="1"/>
  <c r="G46" i="1"/>
  <c r="G42" i="1"/>
  <c r="J42" i="1"/>
  <c r="L42" i="1" s="1"/>
  <c r="I42" i="1"/>
  <c r="K42" i="1" s="1"/>
  <c r="G38" i="1"/>
  <c r="J38" i="1"/>
  <c r="L38" i="1" s="1"/>
  <c r="I38" i="1"/>
  <c r="K38" i="1" s="1"/>
  <c r="G34" i="1"/>
  <c r="G30" i="1"/>
  <c r="G22" i="1"/>
  <c r="J22" i="1"/>
  <c r="L22" i="1" s="1"/>
  <c r="I22" i="1"/>
  <c r="K22" i="1" s="1"/>
  <c r="G14" i="1"/>
  <c r="G10" i="1"/>
  <c r="J10" i="1"/>
  <c r="L10" i="1" s="1"/>
  <c r="I10" i="1"/>
  <c r="K10" i="1" s="1"/>
  <c r="G133" i="1"/>
  <c r="J133" i="1"/>
  <c r="L133" i="1" s="1"/>
  <c r="G129" i="1"/>
  <c r="J129" i="1"/>
  <c r="L129" i="1" s="1"/>
  <c r="G125" i="1"/>
  <c r="J125" i="1"/>
  <c r="L125" i="1" s="1"/>
  <c r="G121" i="1"/>
  <c r="J121" i="1"/>
  <c r="L121" i="1" s="1"/>
  <c r="G117" i="1"/>
  <c r="J117" i="1"/>
  <c r="L117" i="1" s="1"/>
  <c r="G113" i="1"/>
  <c r="J113" i="1"/>
  <c r="L113" i="1" s="1"/>
  <c r="G109" i="1"/>
  <c r="J109" i="1"/>
  <c r="L109" i="1" s="1"/>
  <c r="G105" i="1"/>
  <c r="J105" i="1"/>
  <c r="L105" i="1" s="1"/>
  <c r="G101" i="1"/>
  <c r="J101" i="1"/>
  <c r="L101" i="1" s="1"/>
  <c r="G97" i="1"/>
  <c r="J97" i="1"/>
  <c r="L97" i="1" s="1"/>
  <c r="G93" i="1"/>
  <c r="J93" i="1"/>
  <c r="L93" i="1" s="1"/>
  <c r="I93" i="1"/>
  <c r="K93" i="1" s="1"/>
  <c r="G89" i="1"/>
  <c r="J89" i="1"/>
  <c r="L89" i="1" s="1"/>
  <c r="I89" i="1"/>
  <c r="K89" i="1" s="1"/>
  <c r="G85" i="1"/>
  <c r="J85" i="1"/>
  <c r="L85" i="1" s="1"/>
  <c r="I85" i="1"/>
  <c r="K85" i="1" s="1"/>
  <c r="G81" i="1"/>
  <c r="J81" i="1"/>
  <c r="L81" i="1" s="1"/>
  <c r="I81" i="1"/>
  <c r="K81" i="1" s="1"/>
  <c r="G77" i="1"/>
  <c r="J77" i="1"/>
  <c r="L77" i="1" s="1"/>
  <c r="I77" i="1"/>
  <c r="K77" i="1" s="1"/>
  <c r="G73" i="1"/>
  <c r="J73" i="1"/>
  <c r="L73" i="1" s="1"/>
  <c r="I73" i="1"/>
  <c r="K73" i="1" s="1"/>
  <c r="G69" i="1"/>
  <c r="J69" i="1"/>
  <c r="L69" i="1" s="1"/>
  <c r="I69" i="1"/>
  <c r="K69" i="1" s="1"/>
  <c r="G65" i="1"/>
  <c r="J65" i="1"/>
  <c r="L65" i="1" s="1"/>
  <c r="I65" i="1"/>
  <c r="K65" i="1" s="1"/>
  <c r="G61" i="1"/>
  <c r="J61" i="1"/>
  <c r="L61" i="1" s="1"/>
  <c r="I61" i="1"/>
  <c r="K61" i="1" s="1"/>
  <c r="G57" i="1"/>
  <c r="J57" i="1"/>
  <c r="L57" i="1" s="1"/>
  <c r="I57" i="1"/>
  <c r="K57" i="1" s="1"/>
  <c r="G53" i="1"/>
  <c r="J53" i="1"/>
  <c r="L53" i="1" s="1"/>
  <c r="I53" i="1"/>
  <c r="K53" i="1" s="1"/>
  <c r="G49" i="1"/>
  <c r="J49" i="1"/>
  <c r="L49" i="1" s="1"/>
  <c r="I49" i="1"/>
  <c r="K49" i="1" s="1"/>
  <c r="G45" i="1"/>
  <c r="J45" i="1"/>
  <c r="L45" i="1" s="1"/>
  <c r="G41" i="1"/>
  <c r="J41" i="1"/>
  <c r="L41" i="1" s="1"/>
  <c r="G37" i="1"/>
  <c r="J37" i="1"/>
  <c r="L37" i="1" s="1"/>
  <c r="I37" i="1"/>
  <c r="K37" i="1" s="1"/>
  <c r="G33" i="1"/>
  <c r="J33" i="1"/>
  <c r="L33" i="1" s="1"/>
  <c r="I33" i="1"/>
  <c r="K33" i="1" s="1"/>
  <c r="G29" i="1"/>
  <c r="J29" i="1"/>
  <c r="L29" i="1" s="1"/>
  <c r="G25" i="1"/>
  <c r="J25" i="1"/>
  <c r="L25" i="1" s="1"/>
  <c r="G21" i="1"/>
  <c r="J21" i="1"/>
  <c r="L21" i="1" s="1"/>
  <c r="I21" i="1"/>
  <c r="K21" i="1" s="1"/>
  <c r="G17" i="1"/>
  <c r="J17" i="1"/>
  <c r="L17" i="1" s="1"/>
  <c r="I17" i="1"/>
  <c r="K17" i="1" s="1"/>
  <c r="G13" i="1"/>
  <c r="J13" i="1"/>
  <c r="L13" i="1" s="1"/>
  <c r="G9" i="1"/>
  <c r="J9" i="1"/>
  <c r="L9" i="1" s="1"/>
  <c r="G5" i="1"/>
  <c r="J5" i="1"/>
  <c r="L5" i="1" s="1"/>
  <c r="I5" i="1"/>
  <c r="K5" i="1" s="1"/>
  <c r="I120" i="1"/>
  <c r="K120" i="1" s="1"/>
  <c r="I67" i="1"/>
  <c r="K67" i="1" s="1"/>
  <c r="I41" i="1"/>
  <c r="K41" i="1" s="1"/>
  <c r="I30" i="1"/>
  <c r="K30" i="1" s="1"/>
  <c r="I9" i="1"/>
  <c r="K9" i="1" s="1"/>
  <c r="J131" i="1"/>
  <c r="L131" i="1" s="1"/>
  <c r="J110" i="1"/>
  <c r="L110" i="1" s="1"/>
  <c r="J46" i="1"/>
  <c r="L46" i="1" s="1"/>
  <c r="J14" i="1"/>
  <c r="L14" i="1" s="1"/>
  <c r="H119" i="1"/>
  <c r="N119" i="1"/>
  <c r="G99" i="1"/>
  <c r="G95" i="1"/>
  <c r="J95" i="1"/>
  <c r="L95" i="1" s="1"/>
  <c r="G3" i="1"/>
  <c r="G132" i="1"/>
  <c r="J132" i="1"/>
  <c r="L132" i="1" s="1"/>
  <c r="G128" i="1"/>
  <c r="J128" i="1"/>
  <c r="L128" i="1" s="1"/>
  <c r="G124" i="1"/>
  <c r="G120" i="1"/>
  <c r="G116" i="1"/>
  <c r="J116" i="1"/>
  <c r="L116" i="1" s="1"/>
  <c r="G112" i="1"/>
  <c r="J112" i="1"/>
  <c r="L112" i="1" s="1"/>
  <c r="G108" i="1"/>
  <c r="G104" i="1"/>
  <c r="G100" i="1"/>
  <c r="J100" i="1"/>
  <c r="L100" i="1" s="1"/>
  <c r="G96" i="1"/>
  <c r="J96" i="1"/>
  <c r="L96" i="1" s="1"/>
  <c r="G92" i="1"/>
  <c r="G88" i="1"/>
  <c r="I88" i="1"/>
  <c r="K88" i="1" s="1"/>
  <c r="G84" i="1"/>
  <c r="J84" i="1"/>
  <c r="L84" i="1" s="1"/>
  <c r="I84" i="1"/>
  <c r="K84" i="1" s="1"/>
  <c r="G80" i="1"/>
  <c r="I80" i="1"/>
  <c r="K80" i="1" s="1"/>
  <c r="J80" i="1"/>
  <c r="L80" i="1" s="1"/>
  <c r="G76" i="1"/>
  <c r="I76" i="1"/>
  <c r="K76" i="1" s="1"/>
  <c r="G72" i="1"/>
  <c r="I72" i="1"/>
  <c r="K72" i="1" s="1"/>
  <c r="G68" i="1"/>
  <c r="J68" i="1"/>
  <c r="L68" i="1" s="1"/>
  <c r="I68" i="1"/>
  <c r="K68" i="1" s="1"/>
  <c r="G64" i="1"/>
  <c r="I64" i="1"/>
  <c r="K64" i="1" s="1"/>
  <c r="J64" i="1"/>
  <c r="L64" i="1" s="1"/>
  <c r="G60" i="1"/>
  <c r="I60" i="1"/>
  <c r="K60" i="1" s="1"/>
  <c r="G56" i="1"/>
  <c r="I56" i="1"/>
  <c r="K56" i="1" s="1"/>
  <c r="G52" i="1"/>
  <c r="J52" i="1"/>
  <c r="L52" i="1" s="1"/>
  <c r="I52" i="1"/>
  <c r="K52" i="1" s="1"/>
  <c r="G48" i="1"/>
  <c r="I48" i="1"/>
  <c r="K48" i="1" s="1"/>
  <c r="J48" i="1"/>
  <c r="L48" i="1" s="1"/>
  <c r="G44" i="1"/>
  <c r="I44" i="1"/>
  <c r="K44" i="1" s="1"/>
  <c r="G40" i="1"/>
  <c r="I40" i="1"/>
  <c r="K40" i="1" s="1"/>
  <c r="G36" i="1"/>
  <c r="I36" i="1"/>
  <c r="K36" i="1" s="1"/>
  <c r="J36" i="1"/>
  <c r="L36" i="1" s="1"/>
  <c r="G32" i="1"/>
  <c r="I32" i="1"/>
  <c r="K32" i="1" s="1"/>
  <c r="J32" i="1"/>
  <c r="L32" i="1" s="1"/>
  <c r="G28" i="1"/>
  <c r="I28" i="1"/>
  <c r="K28" i="1" s="1"/>
  <c r="G24" i="1"/>
  <c r="I24" i="1"/>
  <c r="K24" i="1" s="1"/>
  <c r="G20" i="1"/>
  <c r="I20" i="1"/>
  <c r="K20" i="1" s="1"/>
  <c r="J20" i="1"/>
  <c r="L20" i="1" s="1"/>
  <c r="G16" i="1"/>
  <c r="I16" i="1"/>
  <c r="K16" i="1" s="1"/>
  <c r="J16" i="1"/>
  <c r="L16" i="1" s="1"/>
  <c r="G12" i="1"/>
  <c r="I12" i="1"/>
  <c r="K12" i="1" s="1"/>
  <c r="G8" i="1"/>
  <c r="I8" i="1"/>
  <c r="K8" i="1" s="1"/>
  <c r="G4" i="1"/>
  <c r="I4" i="1"/>
  <c r="K4" i="1" s="1"/>
  <c r="J4" i="1"/>
  <c r="L4" i="1" s="1"/>
  <c r="I131" i="1"/>
  <c r="K131" i="1" s="1"/>
  <c r="I119" i="1"/>
  <c r="K119" i="1" s="1"/>
  <c r="I115" i="1"/>
  <c r="K115" i="1" s="1"/>
  <c r="I99" i="1"/>
  <c r="K99" i="1" s="1"/>
  <c r="I95" i="1"/>
  <c r="K95" i="1" s="1"/>
  <c r="I82" i="1"/>
  <c r="K82" i="1" s="1"/>
  <c r="I74" i="1"/>
  <c r="K74" i="1" s="1"/>
  <c r="I66" i="1"/>
  <c r="K66" i="1" s="1"/>
  <c r="I58" i="1"/>
  <c r="K58" i="1" s="1"/>
  <c r="I29" i="1"/>
  <c r="K29" i="1" s="1"/>
  <c r="J130" i="1"/>
  <c r="L130" i="1" s="1"/>
  <c r="J119" i="1"/>
  <c r="L119" i="1" s="1"/>
  <c r="J108" i="1"/>
  <c r="L108" i="1" s="1"/>
  <c r="J98" i="1"/>
  <c r="L98" i="1" s="1"/>
  <c r="J87" i="1"/>
  <c r="L87" i="1" s="1"/>
  <c r="J76" i="1"/>
  <c r="L76" i="1" s="1"/>
  <c r="J66" i="1"/>
  <c r="L66" i="1" s="1"/>
  <c r="J44" i="1"/>
  <c r="L44" i="1" s="1"/>
  <c r="J34" i="1"/>
  <c r="L34" i="1" s="1"/>
  <c r="J12" i="1"/>
  <c r="L12" i="1" s="1"/>
  <c r="H115" i="1"/>
  <c r="N115" i="1"/>
  <c r="G111" i="1"/>
  <c r="J111" i="1"/>
  <c r="L111" i="1" s="1"/>
  <c r="G107" i="1"/>
  <c r="J107" i="1"/>
  <c r="L107" i="1" s="1"/>
  <c r="G83" i="1"/>
  <c r="G79" i="1"/>
  <c r="J79" i="1"/>
  <c r="L79" i="1" s="1"/>
  <c r="G75" i="1"/>
  <c r="J75" i="1"/>
  <c r="L75" i="1" s="1"/>
  <c r="G71" i="1"/>
  <c r="G67" i="1"/>
  <c r="G63" i="1"/>
  <c r="J63" i="1"/>
  <c r="L63" i="1" s="1"/>
  <c r="G59" i="1"/>
  <c r="J59" i="1"/>
  <c r="L59" i="1" s="1"/>
  <c r="G55" i="1"/>
  <c r="G51" i="1"/>
  <c r="G47" i="1"/>
  <c r="J47" i="1"/>
  <c r="L47" i="1" s="1"/>
  <c r="I47" i="1"/>
  <c r="K47" i="1" s="1"/>
  <c r="G43" i="1"/>
  <c r="J43" i="1"/>
  <c r="L43" i="1" s="1"/>
  <c r="I43" i="1"/>
  <c r="K43" i="1" s="1"/>
  <c r="G39" i="1"/>
  <c r="G35" i="1"/>
  <c r="G31" i="1"/>
  <c r="J31" i="1"/>
  <c r="L31" i="1" s="1"/>
  <c r="I31" i="1"/>
  <c r="K31" i="1" s="1"/>
  <c r="G27" i="1"/>
  <c r="J27" i="1"/>
  <c r="L27" i="1" s="1"/>
  <c r="I27" i="1"/>
  <c r="K27" i="1" s="1"/>
  <c r="G23" i="1"/>
  <c r="G19" i="1"/>
  <c r="G15" i="1"/>
  <c r="J15" i="1"/>
  <c r="L15" i="1" s="1"/>
  <c r="I15" i="1"/>
  <c r="K15" i="1" s="1"/>
  <c r="G11" i="1"/>
  <c r="J11" i="1"/>
  <c r="L11" i="1" s="1"/>
  <c r="I11" i="1"/>
  <c r="K11" i="1" s="1"/>
  <c r="G7" i="1"/>
  <c r="G134" i="1"/>
  <c r="J134" i="1"/>
  <c r="L134" i="1" s="1"/>
  <c r="I3" i="1"/>
  <c r="K3" i="1" s="1"/>
  <c r="I130" i="1"/>
  <c r="K130" i="1" s="1"/>
  <c r="I126" i="1"/>
  <c r="K126" i="1" s="1"/>
  <c r="I122" i="1"/>
  <c r="K122" i="1" s="1"/>
  <c r="I114" i="1"/>
  <c r="K114" i="1" s="1"/>
  <c r="I102" i="1"/>
  <c r="K102" i="1" s="1"/>
  <c r="I94" i="1"/>
  <c r="K94" i="1" s="1"/>
  <c r="I79" i="1"/>
  <c r="K79" i="1" s="1"/>
  <c r="I71" i="1"/>
  <c r="K71" i="1" s="1"/>
  <c r="I63" i="1"/>
  <c r="K63" i="1" s="1"/>
  <c r="I55" i="1"/>
  <c r="K55" i="1" s="1"/>
  <c r="I46" i="1"/>
  <c r="K46" i="1" s="1"/>
  <c r="I35" i="1"/>
  <c r="K35" i="1" s="1"/>
  <c r="I25" i="1"/>
  <c r="K25" i="1" s="1"/>
  <c r="I14" i="1"/>
  <c r="K14" i="1" s="1"/>
  <c r="I134" i="1"/>
  <c r="K134" i="1" s="1"/>
  <c r="J115" i="1"/>
  <c r="L115" i="1" s="1"/>
  <c r="J104" i="1"/>
  <c r="L104" i="1" s="1"/>
  <c r="J94" i="1"/>
  <c r="L94" i="1" s="1"/>
  <c r="J83" i="1"/>
  <c r="L83" i="1" s="1"/>
  <c r="J72" i="1"/>
  <c r="L72" i="1" s="1"/>
  <c r="J62" i="1"/>
  <c r="L62" i="1" s="1"/>
  <c r="J51" i="1"/>
  <c r="L51" i="1" s="1"/>
  <c r="J40" i="1"/>
  <c r="L40" i="1" s="1"/>
  <c r="J30" i="1"/>
  <c r="L30" i="1" s="1"/>
  <c r="J19" i="1"/>
  <c r="L19" i="1" s="1"/>
  <c r="J8" i="1"/>
  <c r="L8" i="1" s="1"/>
  <c r="H131" i="1"/>
  <c r="N131" i="1"/>
  <c r="G127" i="1"/>
  <c r="J127" i="1"/>
  <c r="L127" i="1" s="1"/>
  <c r="G123" i="1"/>
  <c r="J123" i="1"/>
  <c r="L123" i="1" s="1"/>
  <c r="G103" i="1"/>
  <c r="G91" i="1"/>
  <c r="J91" i="1"/>
  <c r="L91" i="1" s="1"/>
  <c r="G87" i="1"/>
  <c r="G126" i="1"/>
  <c r="G118" i="1"/>
  <c r="J118" i="1"/>
  <c r="L118" i="1" s="1"/>
  <c r="G110" i="1"/>
  <c r="G106" i="1"/>
  <c r="J106" i="1"/>
  <c r="L106" i="1" s="1"/>
  <c r="G98" i="1"/>
  <c r="G90" i="1"/>
  <c r="J90" i="1"/>
  <c r="L90" i="1" s="1"/>
  <c r="G78" i="1"/>
  <c r="G70" i="1"/>
  <c r="J70" i="1"/>
  <c r="L70" i="1" s="1"/>
  <c r="G50" i="1"/>
  <c r="G26" i="1"/>
  <c r="J26" i="1"/>
  <c r="L26" i="1" s="1"/>
  <c r="I26" i="1"/>
  <c r="K26" i="1" s="1"/>
  <c r="G18" i="1"/>
  <c r="G6" i="1"/>
  <c r="J6" i="1"/>
  <c r="L6" i="1" s="1"/>
  <c r="I6" i="1"/>
  <c r="K6" i="1" s="1"/>
  <c r="I133" i="1"/>
  <c r="K133" i="1" s="1"/>
  <c r="I129" i="1"/>
  <c r="K129" i="1" s="1"/>
  <c r="I125" i="1"/>
  <c r="K125" i="1" s="1"/>
  <c r="I121" i="1"/>
  <c r="K121" i="1" s="1"/>
  <c r="I117" i="1"/>
  <c r="K117" i="1" s="1"/>
  <c r="I113" i="1"/>
  <c r="K113" i="1" s="1"/>
  <c r="I109" i="1"/>
  <c r="K109" i="1" s="1"/>
  <c r="I105" i="1"/>
  <c r="K105" i="1" s="1"/>
  <c r="I101" i="1"/>
  <c r="K101" i="1" s="1"/>
  <c r="I97" i="1"/>
  <c r="K97" i="1" s="1"/>
  <c r="I92" i="1"/>
  <c r="K92" i="1" s="1"/>
  <c r="I86" i="1"/>
  <c r="K86" i="1" s="1"/>
  <c r="I78" i="1"/>
  <c r="K78" i="1" s="1"/>
  <c r="I70" i="1"/>
  <c r="K70" i="1" s="1"/>
  <c r="I62" i="1"/>
  <c r="K62" i="1" s="1"/>
  <c r="I54" i="1"/>
  <c r="K54" i="1" s="1"/>
  <c r="I45" i="1"/>
  <c r="K45" i="1" s="1"/>
  <c r="I34" i="1"/>
  <c r="K34" i="1" s="1"/>
  <c r="I23" i="1"/>
  <c r="K23" i="1" s="1"/>
  <c r="I13" i="1"/>
  <c r="K13" i="1" s="1"/>
  <c r="J3" i="1"/>
  <c r="L3" i="1" s="1"/>
  <c r="J124" i="1"/>
  <c r="L124" i="1" s="1"/>
  <c r="J114" i="1"/>
  <c r="L114" i="1" s="1"/>
  <c r="J103" i="1"/>
  <c r="L103" i="1" s="1"/>
  <c r="J92" i="1"/>
  <c r="L92" i="1" s="1"/>
  <c r="J82" i="1"/>
  <c r="L82" i="1" s="1"/>
  <c r="J71" i="1"/>
  <c r="L71" i="1" s="1"/>
  <c r="J60" i="1"/>
  <c r="L60" i="1" s="1"/>
  <c r="J50" i="1"/>
  <c r="L50" i="1" s="1"/>
  <c r="J39" i="1"/>
  <c r="L39" i="1" s="1"/>
  <c r="J28" i="1"/>
  <c r="L28" i="1" s="1"/>
  <c r="J18" i="1"/>
  <c r="L18" i="1" s="1"/>
  <c r="J7" i="1"/>
  <c r="L7" i="1" s="1"/>
  <c r="F10" i="6"/>
  <c r="E14" i="6"/>
  <c r="F4" i="6"/>
  <c r="F11" i="6"/>
  <c r="F8" i="6"/>
  <c r="E6" i="6"/>
  <c r="F12" i="6"/>
  <c r="E13" i="6"/>
  <c r="E9" i="6"/>
  <c r="E5" i="6"/>
  <c r="F7" i="6"/>
  <c r="H59" i="1" l="1"/>
  <c r="N59" i="1"/>
  <c r="H71" i="1"/>
  <c r="N71" i="1"/>
  <c r="H6" i="1"/>
  <c r="N6" i="1"/>
  <c r="H26" i="1"/>
  <c r="N26" i="1"/>
  <c r="H78" i="1"/>
  <c r="N78" i="1"/>
  <c r="H118" i="1"/>
  <c r="N118" i="1"/>
  <c r="H91" i="1"/>
  <c r="N91" i="1"/>
  <c r="H134" i="1"/>
  <c r="N134" i="1"/>
  <c r="H11" i="1"/>
  <c r="N11" i="1"/>
  <c r="H19" i="1"/>
  <c r="N19" i="1"/>
  <c r="H27" i="1"/>
  <c r="N27" i="1"/>
  <c r="H35" i="1"/>
  <c r="N35" i="1"/>
  <c r="H43" i="1"/>
  <c r="N43" i="1"/>
  <c r="H51" i="1"/>
  <c r="N51" i="1"/>
  <c r="H83" i="1"/>
  <c r="N83" i="1"/>
  <c r="H111" i="1"/>
  <c r="N111" i="1"/>
  <c r="H16" i="1"/>
  <c r="N16" i="1"/>
  <c r="H48" i="1"/>
  <c r="N48" i="1"/>
  <c r="H80" i="1"/>
  <c r="N80" i="1"/>
  <c r="H96" i="1"/>
  <c r="N96" i="1"/>
  <c r="H108" i="1"/>
  <c r="N108" i="1"/>
  <c r="H116" i="1"/>
  <c r="N116" i="1"/>
  <c r="H128" i="1"/>
  <c r="N128" i="1"/>
  <c r="H5" i="1"/>
  <c r="N5" i="1"/>
  <c r="H13" i="1"/>
  <c r="N13" i="1"/>
  <c r="H25" i="1"/>
  <c r="N25" i="1"/>
  <c r="H37" i="1"/>
  <c r="N37" i="1"/>
  <c r="H45" i="1"/>
  <c r="N45" i="1"/>
  <c r="H61" i="1"/>
  <c r="N61" i="1"/>
  <c r="H77" i="1"/>
  <c r="N77" i="1"/>
  <c r="H93" i="1"/>
  <c r="N93" i="1"/>
  <c r="H101" i="1"/>
  <c r="N101" i="1"/>
  <c r="H109" i="1"/>
  <c r="N109" i="1"/>
  <c r="H117" i="1"/>
  <c r="N117" i="1"/>
  <c r="H125" i="1"/>
  <c r="N125" i="1"/>
  <c r="H133" i="1"/>
  <c r="N133" i="1"/>
  <c r="H14" i="1"/>
  <c r="N14" i="1"/>
  <c r="H30" i="1"/>
  <c r="N30" i="1"/>
  <c r="H38" i="1"/>
  <c r="N38" i="1"/>
  <c r="H46" i="1"/>
  <c r="N46" i="1"/>
  <c r="H58" i="1"/>
  <c r="N58" i="1"/>
  <c r="H74" i="1"/>
  <c r="N74" i="1"/>
  <c r="H94" i="1"/>
  <c r="N94" i="1"/>
  <c r="H98" i="1"/>
  <c r="N98" i="1"/>
  <c r="H31" i="1"/>
  <c r="N31" i="1"/>
  <c r="H18" i="1"/>
  <c r="N18" i="1"/>
  <c r="H126" i="1"/>
  <c r="N126" i="1"/>
  <c r="H127" i="1"/>
  <c r="N127" i="1"/>
  <c r="H23" i="1"/>
  <c r="N23" i="1"/>
  <c r="H39" i="1"/>
  <c r="N39" i="1"/>
  <c r="H55" i="1"/>
  <c r="N55" i="1"/>
  <c r="N63" i="1"/>
  <c r="H75" i="1"/>
  <c r="N75" i="1"/>
  <c r="H4" i="1"/>
  <c r="N4" i="1"/>
  <c r="H12" i="1"/>
  <c r="N12" i="1"/>
  <c r="H24" i="1"/>
  <c r="N24" i="1"/>
  <c r="H36" i="1"/>
  <c r="N36" i="1"/>
  <c r="H44" i="1"/>
  <c r="N44" i="1"/>
  <c r="H56" i="1"/>
  <c r="N56" i="1"/>
  <c r="H68" i="1"/>
  <c r="N68" i="1"/>
  <c r="H76" i="1"/>
  <c r="N76" i="1"/>
  <c r="H88" i="1"/>
  <c r="N88" i="1"/>
  <c r="H120" i="1"/>
  <c r="N120" i="1"/>
  <c r="H95" i="1"/>
  <c r="N95" i="1"/>
  <c r="H33" i="1"/>
  <c r="N33" i="1"/>
  <c r="H57" i="1"/>
  <c r="N57" i="1"/>
  <c r="H73" i="1"/>
  <c r="N73" i="1"/>
  <c r="H89" i="1"/>
  <c r="N89" i="1"/>
  <c r="H34" i="1"/>
  <c r="N34" i="1"/>
  <c r="H62" i="1"/>
  <c r="N62" i="1"/>
  <c r="H82" i="1"/>
  <c r="N82" i="1"/>
  <c r="H122" i="1"/>
  <c r="N122" i="1"/>
  <c r="H123" i="1"/>
  <c r="N123" i="1"/>
  <c r="H15" i="1"/>
  <c r="N15" i="1"/>
  <c r="H50" i="1"/>
  <c r="N50" i="1"/>
  <c r="H106" i="1"/>
  <c r="N106" i="1"/>
  <c r="H103" i="1"/>
  <c r="N103" i="1"/>
  <c r="H7" i="1"/>
  <c r="N7" i="1"/>
  <c r="H90" i="1"/>
  <c r="N90" i="1"/>
  <c r="H110" i="1"/>
  <c r="N110" i="1"/>
  <c r="H87" i="1"/>
  <c r="N87" i="1"/>
  <c r="H67" i="1"/>
  <c r="N67" i="1"/>
  <c r="H107" i="1"/>
  <c r="N107" i="1"/>
  <c r="H32" i="1"/>
  <c r="N32" i="1"/>
  <c r="H64" i="1"/>
  <c r="N64" i="1"/>
  <c r="H92" i="1"/>
  <c r="N92" i="1"/>
  <c r="H100" i="1"/>
  <c r="N100" i="1"/>
  <c r="H112" i="1"/>
  <c r="N112" i="1"/>
  <c r="H124" i="1"/>
  <c r="N124" i="1"/>
  <c r="H132" i="1"/>
  <c r="N132" i="1"/>
  <c r="H99" i="1"/>
  <c r="N99" i="1"/>
  <c r="H9" i="1"/>
  <c r="N9" i="1"/>
  <c r="H21" i="1"/>
  <c r="N21" i="1"/>
  <c r="H29" i="1"/>
  <c r="N29" i="1"/>
  <c r="H41" i="1"/>
  <c r="N41" i="1"/>
  <c r="H53" i="1"/>
  <c r="N53" i="1"/>
  <c r="H69" i="1"/>
  <c r="N69" i="1"/>
  <c r="H85" i="1"/>
  <c r="N85" i="1"/>
  <c r="H97" i="1"/>
  <c r="N97" i="1"/>
  <c r="H105" i="1"/>
  <c r="N105" i="1"/>
  <c r="H113" i="1"/>
  <c r="N113" i="1"/>
  <c r="H121" i="1"/>
  <c r="N121" i="1"/>
  <c r="H129" i="1"/>
  <c r="N129" i="1"/>
  <c r="H54" i="1"/>
  <c r="N54" i="1"/>
  <c r="H66" i="1"/>
  <c r="N66" i="1"/>
  <c r="H102" i="1"/>
  <c r="N102" i="1"/>
  <c r="H70" i="1"/>
  <c r="N70" i="1"/>
  <c r="H47" i="1"/>
  <c r="N47" i="1"/>
  <c r="H79" i="1"/>
  <c r="N79" i="1"/>
  <c r="H8" i="1"/>
  <c r="N8" i="1"/>
  <c r="H20" i="1"/>
  <c r="N20" i="1"/>
  <c r="H28" i="1"/>
  <c r="N28" i="1"/>
  <c r="H40" i="1"/>
  <c r="N40" i="1"/>
  <c r="H52" i="1"/>
  <c r="N52" i="1"/>
  <c r="H60" i="1"/>
  <c r="N60" i="1"/>
  <c r="H72" i="1"/>
  <c r="N72" i="1"/>
  <c r="H84" i="1"/>
  <c r="N84" i="1"/>
  <c r="H104" i="1"/>
  <c r="N104" i="1"/>
  <c r="H3" i="1"/>
  <c r="N3" i="1"/>
  <c r="H17" i="1"/>
  <c r="N17" i="1"/>
  <c r="H49" i="1"/>
  <c r="N49" i="1"/>
  <c r="H65" i="1"/>
  <c r="N65" i="1"/>
  <c r="H81" i="1"/>
  <c r="N81" i="1"/>
  <c r="H10" i="1"/>
  <c r="N10" i="1"/>
  <c r="H22" i="1"/>
  <c r="N22" i="1"/>
  <c r="H42" i="1"/>
  <c r="N42" i="1"/>
  <c r="H86" i="1"/>
  <c r="N86" i="1"/>
  <c r="H114" i="1"/>
  <c r="N114" i="1"/>
</calcChain>
</file>

<file path=xl/sharedStrings.xml><?xml version="1.0" encoding="utf-8"?>
<sst xmlns="http://schemas.openxmlformats.org/spreadsheetml/2006/main" count="524" uniqueCount="257">
  <si>
    <t>TOTAL</t>
  </si>
  <si>
    <t xml:space="preserve"> Luna ianuarie 2015</t>
  </si>
  <si>
    <t xml:space="preserve"> Lei RON</t>
  </si>
  <si>
    <t xml:space="preserve"> Luna februarie 2015</t>
  </si>
  <si>
    <t xml:space="preserve"> Luna martie 2015</t>
  </si>
  <si>
    <t xml:space="preserve"> Luna aprilie 2015</t>
  </si>
  <si>
    <t xml:space="preserve"> Luna mai 2015</t>
  </si>
  <si>
    <t xml:space="preserve"> Luna iunie 2015</t>
  </si>
  <si>
    <t xml:space="preserve"> Luna iulie 2015</t>
  </si>
  <si>
    <t xml:space="preserve"> Luna august 2015</t>
  </si>
  <si>
    <t xml:space="preserve"> Luna septembrie 2015</t>
  </si>
  <si>
    <t xml:space="preserve"> Luna octombrie 2015</t>
  </si>
  <si>
    <t xml:space="preserve"> Luna noiembrie 2015</t>
  </si>
  <si>
    <t xml:space="preserve"> Luna decembrie 2015</t>
  </si>
  <si>
    <t xml:space="preserve"> Luna ianuarie 2016</t>
  </si>
  <si>
    <t xml:space="preserve"> Luna februarie 2016</t>
  </si>
  <si>
    <t xml:space="preserve"> Luna martie 2016</t>
  </si>
  <si>
    <t xml:space="preserve"> Luna aprilie 2016</t>
  </si>
  <si>
    <t xml:space="preserve"> Luna mai 2016</t>
  </si>
  <si>
    <t xml:space="preserve"> Luna iunie 2016</t>
  </si>
  <si>
    <t xml:space="preserve"> Luna iulie 2016</t>
  </si>
  <si>
    <t xml:space="preserve"> Luna august 2016</t>
  </si>
  <si>
    <t xml:space="preserve"> Luna septembrie 2016</t>
  </si>
  <si>
    <t xml:space="preserve"> Luna octombrie 2016</t>
  </si>
  <si>
    <t xml:space="preserve"> Luna noiembrie 2016</t>
  </si>
  <si>
    <t xml:space="preserve"> Luna decembrie 2016</t>
  </si>
  <si>
    <t xml:space="preserve"> Luna ianuarie 2017</t>
  </si>
  <si>
    <t xml:space="preserve"> Luna februarie 2017</t>
  </si>
  <si>
    <t xml:space="preserve"> Luna martie 2017</t>
  </si>
  <si>
    <t xml:space="preserve"> Luna aprilie 2017</t>
  </si>
  <si>
    <t xml:space="preserve"> Luna mai 2017</t>
  </si>
  <si>
    <t xml:space="preserve"> Luna iunie 2017</t>
  </si>
  <si>
    <t xml:space="preserve"> Luna iulie 2017</t>
  </si>
  <si>
    <t xml:space="preserve"> Luna august 2017</t>
  </si>
  <si>
    <t xml:space="preserve"> Luna septembrie 2017</t>
  </si>
  <si>
    <t xml:space="preserve"> Luna octombrie 2017</t>
  </si>
  <si>
    <t xml:space="preserve"> Luna noiembrie 2017</t>
  </si>
  <si>
    <t xml:space="preserve"> Luna decembrie 2017</t>
  </si>
  <si>
    <t xml:space="preserve"> Luna ianuarie 2018</t>
  </si>
  <si>
    <t xml:space="preserve"> Luna februarie 2018</t>
  </si>
  <si>
    <t xml:space="preserve"> Luna martie 2018</t>
  </si>
  <si>
    <t xml:space="preserve"> Luna aprilie 2018</t>
  </si>
  <si>
    <t xml:space="preserve"> Luna mai 2018</t>
  </si>
  <si>
    <t xml:space="preserve"> Luna iunie 2018</t>
  </si>
  <si>
    <t xml:space="preserve"> Luna iulie 2018</t>
  </si>
  <si>
    <t xml:space="preserve"> Luna august 2018</t>
  </si>
  <si>
    <t xml:space="preserve"> Luna septembrie 2018</t>
  </si>
  <si>
    <t xml:space="preserve"> Luna octombrie 2018</t>
  </si>
  <si>
    <t xml:space="preserve"> Luna noiembrie 2018</t>
  </si>
  <si>
    <t xml:space="preserve"> Luna decembrie 2018</t>
  </si>
  <si>
    <t xml:space="preserve"> Luna ianuarie 2019</t>
  </si>
  <si>
    <t xml:space="preserve"> Luna februarie 2019</t>
  </si>
  <si>
    <t xml:space="preserve"> Luna martie 2019</t>
  </si>
  <si>
    <t xml:space="preserve"> Luna aprilie 2019</t>
  </si>
  <si>
    <t xml:space="preserve"> Luna mai 2019</t>
  </si>
  <si>
    <t xml:space="preserve"> Luna iunie 2019</t>
  </si>
  <si>
    <t xml:space="preserve"> Luna iulie 2019</t>
  </si>
  <si>
    <t xml:space="preserve"> Luna august 2019</t>
  </si>
  <si>
    <t xml:space="preserve"> Luna septembrie 2019</t>
  </si>
  <si>
    <t xml:space="preserve"> Luna octombrie 2019</t>
  </si>
  <si>
    <t xml:space="preserve"> Luna noiembrie 2019</t>
  </si>
  <si>
    <t xml:space="preserve"> Luna decembrie 2019</t>
  </si>
  <si>
    <t xml:space="preserve"> Luna ianuarie 2020</t>
  </si>
  <si>
    <t xml:space="preserve"> Luna februarie 2020</t>
  </si>
  <si>
    <t xml:space="preserve"> Luna martie 2020</t>
  </si>
  <si>
    <t xml:space="preserve"> Luna aprilie 2020</t>
  </si>
  <si>
    <t xml:space="preserve"> Luna mai 2020</t>
  </si>
  <si>
    <t xml:space="preserve"> Luna iunie 2020</t>
  </si>
  <si>
    <t xml:space="preserve"> Luna iulie 2020</t>
  </si>
  <si>
    <t xml:space="preserve"> Luna august 2020</t>
  </si>
  <si>
    <t xml:space="preserve"> Luna septembrie 2020</t>
  </si>
  <si>
    <t xml:space="preserve"> Luna octombrie 2020</t>
  </si>
  <si>
    <t xml:space="preserve"> Luna noiembrie 2020</t>
  </si>
  <si>
    <t xml:space="preserve"> Luna decembrie 2020</t>
  </si>
  <si>
    <t xml:space="preserve"> Luna ianuarie 2021</t>
  </si>
  <si>
    <t xml:space="preserve"> Luna februarie 2021</t>
  </si>
  <si>
    <t xml:space="preserve"> Luna martie 2021</t>
  </si>
  <si>
    <t xml:space="preserve"> Luna aprilie 2021</t>
  </si>
  <si>
    <t xml:space="preserve"> Luna mai 2021</t>
  </si>
  <si>
    <t xml:space="preserve"> Luna iunie 2021</t>
  </si>
  <si>
    <t xml:space="preserve"> Luna iulie 2021</t>
  </si>
  <si>
    <t xml:space="preserve"> Luna august 2021</t>
  </si>
  <si>
    <t xml:space="preserve"> Luna septembrie 2021</t>
  </si>
  <si>
    <t xml:space="preserve"> Luna octombrie 2021</t>
  </si>
  <si>
    <t xml:space="preserve"> Luna noiembrie 2021</t>
  </si>
  <si>
    <t xml:space="preserve"> Luna decembrie 2021</t>
  </si>
  <si>
    <t xml:space="preserve"> Luna ianuarie 2022</t>
  </si>
  <si>
    <t xml:space="preserve"> Luna februarie 2022</t>
  </si>
  <si>
    <t xml:space="preserve"> Luna martie 2022</t>
  </si>
  <si>
    <t xml:space="preserve"> Luna aprilie 2022</t>
  </si>
  <si>
    <t xml:space="preserve"> Luna mai 2022</t>
  </si>
  <si>
    <t xml:space="preserve"> Luna iunie 2022</t>
  </si>
  <si>
    <t xml:space="preserve"> Luna iulie 2022</t>
  </si>
  <si>
    <t xml:space="preserve"> Luna august 2022</t>
  </si>
  <si>
    <t xml:space="preserve"> Luna septembrie 2022</t>
  </si>
  <si>
    <t xml:space="preserve"> Luna octombrie 2022</t>
  </si>
  <si>
    <t xml:space="preserve"> Luna noiembrie 2022</t>
  </si>
  <si>
    <t xml:space="preserve"> Luna decembrie 2022</t>
  </si>
  <si>
    <t xml:space="preserve"> Luna ianuarie 2023</t>
  </si>
  <si>
    <t xml:space="preserve"> Luna februarie 2023</t>
  </si>
  <si>
    <t xml:space="preserve"> Luna martie 2023</t>
  </si>
  <si>
    <t xml:space="preserve"> Luna aprilie 2023</t>
  </si>
  <si>
    <t xml:space="preserve"> Luna mai 2023</t>
  </si>
  <si>
    <t xml:space="preserve"> Luna iunie 2023</t>
  </si>
  <si>
    <t xml:space="preserve"> Luna iulie 2023</t>
  </si>
  <si>
    <t xml:space="preserve"> Luna august 2023</t>
  </si>
  <si>
    <t xml:space="preserve"> Luna septembrie 2023</t>
  </si>
  <si>
    <t xml:space="preserve"> Luna octombrie 2023</t>
  </si>
  <si>
    <t xml:space="preserve"> Luna noiembrie 2023</t>
  </si>
  <si>
    <t xml:space="preserve"> Luna decembrie 2023</t>
  </si>
  <si>
    <t xml:space="preserve"> Luna ianuarie 2024</t>
  </si>
  <si>
    <t xml:space="preserve"> Luna februarie 2024</t>
  </si>
  <si>
    <t xml:space="preserve"> Luna martie 2024</t>
  </si>
  <si>
    <t xml:space="preserve"> Luna aprilie 2024</t>
  </si>
  <si>
    <t xml:space="preserve"> Luna mai 2024</t>
  </si>
  <si>
    <t xml:space="preserve"> Luna iunie 2024</t>
  </si>
  <si>
    <t xml:space="preserve"> Luna iulie 2024</t>
  </si>
  <si>
    <t xml:space="preserve"> Luna august 2024</t>
  </si>
  <si>
    <t xml:space="preserve"> Luna septembrie 2024</t>
  </si>
  <si>
    <t xml:space="preserve"> Luna octombrie 2024</t>
  </si>
  <si>
    <t xml:space="preserve"> Luna noiembrie 2024</t>
  </si>
  <si>
    <t xml:space="preserve"> Luna decembrie 2024</t>
  </si>
  <si>
    <t xml:space="preserve"> Luna ianuarie 2025</t>
  </si>
  <si>
    <t xml:space="preserve"> Luna februarie 2025</t>
  </si>
  <si>
    <t xml:space="preserve"> Luna martie 2025</t>
  </si>
  <si>
    <t xml:space="preserve"> Luna aprilie 2025</t>
  </si>
  <si>
    <t xml:space="preserve"> Luna mai 2025</t>
  </si>
  <si>
    <t xml:space="preserve"> Luna iunie 2025</t>
  </si>
  <si>
    <t xml:space="preserve"> Luna iulie 2025</t>
  </si>
  <si>
    <t xml:space="preserve"> Luna august 2025</t>
  </si>
  <si>
    <t xml:space="preserve"> Luna septembrie 2025</t>
  </si>
  <si>
    <t xml:space="preserve"> Luna octombrie 2025</t>
  </si>
  <si>
    <t xml:space="preserve"> Luna noiembrie 2025</t>
  </si>
  <si>
    <t xml:space="preserve"> Luna decembrie 2025</t>
  </si>
  <si>
    <t>SECTOR</t>
  </si>
  <si>
    <t>Luna</t>
  </si>
  <si>
    <t>Moneda</t>
  </si>
  <si>
    <t>Salariu</t>
  </si>
  <si>
    <t>An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</si>
  <si>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</si>
  <si>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</si>
  <si>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</si>
  <si>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</si>
  <si>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</si>
  <si>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</si>
  <si>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</si>
  <si>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</si>
  <si>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</si>
  <si>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</si>
  <si>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</si>
  <si>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Media Anuala</t>
  </si>
  <si>
    <t>Crestere fata de luna precedenta %</t>
  </si>
  <si>
    <t>Abatere fata de media anuala</t>
  </si>
  <si>
    <t>Salariu minim anual</t>
  </si>
  <si>
    <t>Salariu maxim anual</t>
  </si>
  <si>
    <t>Diferenta fata de minim</t>
  </si>
  <si>
    <t xml:space="preserve">Diferenta fata de maxim   </t>
  </si>
  <si>
    <t>Indice salarial</t>
  </si>
  <si>
    <t>Pozitie fata de media anuala</t>
  </si>
  <si>
    <t>IPC</t>
  </si>
  <si>
    <t>Inflatie(%)</t>
  </si>
  <si>
    <t>Inflatie medie</t>
  </si>
  <si>
    <t>Inflatie minima</t>
  </si>
  <si>
    <t>Inflatie maxima</t>
  </si>
  <si>
    <t>Rata somajului %</t>
  </si>
  <si>
    <t>Diferenta fata de anul precedent</t>
  </si>
  <si>
    <t>Media perioadei</t>
  </si>
  <si>
    <t>Abatere fata de medie</t>
  </si>
  <si>
    <t>Pozitie</t>
  </si>
  <si>
    <t>Trend</t>
  </si>
  <si>
    <t>Constant</t>
  </si>
  <si>
    <t>Somaj mediu</t>
  </si>
  <si>
    <t>Mediana</t>
  </si>
  <si>
    <t>Somaj minim</t>
  </si>
  <si>
    <t>Somaj maxim</t>
  </si>
  <si>
    <t>Interval(Max-Min)</t>
  </si>
  <si>
    <t>Deviatie standard</t>
  </si>
  <si>
    <t>Coeficient de variatie</t>
  </si>
  <si>
    <t>Indicator</t>
  </si>
  <si>
    <t>Valoare</t>
  </si>
  <si>
    <t>Numar ani analizati</t>
  </si>
  <si>
    <t>Tendinta generala</t>
  </si>
  <si>
    <t>scadere</t>
  </si>
  <si>
    <t>Variabilitate</t>
  </si>
  <si>
    <t>Analiza ratei somjului in Romania(2015-2025)</t>
  </si>
  <si>
    <t>Sursa:Institutul National de Statistica(INSSE)</t>
  </si>
  <si>
    <t>Date brute-Evolutia salariului mediu brut in Romania(2015-2025)</t>
  </si>
  <si>
    <t>Salariu mediu net (lei)</t>
  </si>
  <si>
    <t>Dashboard- Analiza indicatorilor economici din Romania (2015-2025)</t>
  </si>
  <si>
    <t>Ani analizati</t>
  </si>
  <si>
    <t>Salariu mediu net
(2015-2025)
3,478</t>
  </si>
  <si>
    <t>Inflatie medie
=Inflatie! B14</t>
  </si>
  <si>
    <t>Sursa:INSSE(Institutul National de Statistica)</t>
  </si>
  <si>
    <t>Analiza salariului mediu net</t>
  </si>
  <si>
    <t>Analiza salariului mediu net din Romania pentru perioada 2015-2025 evidentiaza o crestere constanta a veniturilor populatiei.
Salariul mediu net a crescut de la aproximativ 1,848 lei in anul 2015 la 5,536 in anul 2025, ceeavce indica o evolutie pozitiva a nivelului de trai si o dezvoltare economica sustinuta. Ritmul de crestere s-a accelerat incepand cu anul 2021</t>
  </si>
  <si>
    <t>Analiza ratei inflatiei</t>
  </si>
  <si>
    <t>Analiza ratei somajului</t>
  </si>
  <si>
    <t>Rata somajului a prezentat o tendinta generala de scadere intre anii 2015 si 2025, cu mici variatii de la un an la altul. Evolutia sugereaza o imbunatatire graduala a pietei muncii si o stabilizare a gradului de ocupare a fortei de muca</t>
  </si>
  <si>
    <t>CONCLUZII - Analiza indicatorilor economici din Romania (2015-2025)</t>
  </si>
  <si>
    <t>Analiza indicatorilor economici din Romania pentru perioada 2015-2025 evidentiaza o economie aflata intr-un proces de dezvoltare
Salariul mediu net a inregistrat o crestere constanta, rata somajului a avut o tendinta generala de scadere, iar inflatia a prezentat fluctuatii importanta, cu un varf in anul 2022.
Dashboard-ul realizat in Micrososft Excel permite analiza rapida si interactiva a acestor indicatori prin utilizarea PivotTable-urilor, PivotChart-urilor, slicerelor si formulelor.</t>
  </si>
  <si>
    <t>CONCLUZIE GENERALA</t>
  </si>
  <si>
    <t>Ra</t>
  </si>
  <si>
    <t>Rata inflatiei a avut o evolutie fuctuanta in perioada analizata. Dupa vaori moderate in primii ani, inflatia a inregistrat o crestere accentuata in anul 2022, urmata de  diminuare in anii urmatori. Acet comportament evidentiaza impactul factorilor economici si geopolitici asupra nivelului general al preturilor.</t>
  </si>
  <si>
    <t>Sursa datelor</t>
  </si>
  <si>
    <t>Indicatori analizati</t>
  </si>
  <si>
    <t>Metodologie si instrumente utilizate</t>
  </si>
  <si>
    <t>Scopul proiectlui</t>
  </si>
  <si>
    <t>Acest proiect are ca scop analiza evolutiei principalilor indicatori economici din Romania in perioada 2015-2025 utilizand Microsoft Excel. Analiza urmareste identificarea tendintelor salariului mediu net, ratei inflatiei si ratei somajului prin utilizarea instrumentelor de analiza si vizualizare a datelor.</t>
  </si>
  <si>
    <t>~Institutul National de Statistica (INSSE)</t>
  </si>
  <si>
    <t>~Perioada analizata: 2015-2025</t>
  </si>
  <si>
    <t>~Salariu mediu net</t>
  </si>
  <si>
    <t>~Rata inflatiei</t>
  </si>
  <si>
    <t>~Rata somajului</t>
  </si>
  <si>
    <t>Instrumente Microsoft Excel utilizate</t>
  </si>
  <si>
    <t>Pivot Table:</t>
  </si>
  <si>
    <t>Rol: Organizarea sisintetizarea datelor</t>
  </si>
  <si>
    <r>
      <rPr>
        <u/>
        <sz val="11"/>
        <color theme="1"/>
        <rFont val="Calibri"/>
        <family val="2"/>
        <scheme val="minor"/>
      </rPr>
      <t>Aplicare</t>
    </r>
    <r>
      <rPr>
        <sz val="11"/>
        <color theme="1"/>
        <rFont val="Calibri"/>
        <family val="2"/>
        <charset val="238"/>
        <scheme val="minor"/>
      </rPr>
      <t xml:space="preserve"> in proiect</t>
    </r>
    <r>
      <rPr>
        <sz val="11"/>
        <color theme="1"/>
        <rFont val="Calibri"/>
        <family val="2"/>
        <scheme val="minor"/>
      </rPr>
      <t>:</t>
    </r>
  </si>
  <si>
    <t>~centralizarea datelor pe ani</t>
  </si>
  <si>
    <t>~pregatirea sursei pentru grafice</t>
  </si>
  <si>
    <t>~calculrea indicatorilor utilizati in Dashboard</t>
  </si>
  <si>
    <t>Pivot Charts</t>
  </si>
  <si>
    <t>Rol: reprezentarea vizuala a datelor</t>
  </si>
  <si>
    <t>Aplicare in proiect:</t>
  </si>
  <si>
    <r>
      <rPr>
        <u/>
        <sz val="11"/>
        <color theme="1"/>
        <rFont val="Calibri"/>
        <family val="2"/>
        <scheme val="minor"/>
      </rPr>
      <t>Aplicare</t>
    </r>
    <r>
      <rPr>
        <sz val="11"/>
        <color theme="1"/>
        <rFont val="Calibri"/>
        <family val="2"/>
        <charset val="238"/>
        <scheme val="minor"/>
      </rPr>
      <t xml:space="preserve"> in proiect:</t>
    </r>
  </si>
  <si>
    <t>~graficul evolutiei salariului mediu net</t>
  </si>
  <si>
    <t>~graficul evolutiei inflatiei</t>
  </si>
  <si>
    <t>~graficul evolutiei somajului</t>
  </si>
  <si>
    <t>Dashboard</t>
  </si>
  <si>
    <t>~KPI-uri (salariu mediu, inflatie medie, somaj mediu, nr. De ani)</t>
  </si>
  <si>
    <t>~integrarea graficelor intr-un tabloude bord</t>
  </si>
  <si>
    <t>Slicre</t>
  </si>
  <si>
    <t>Rol: prezentarea indicatorilor intr-o singura interfata</t>
  </si>
  <si>
    <t>Rol: filtrarea integrativa a datelor</t>
  </si>
  <si>
    <t>Aplicare in proiect</t>
  </si>
  <si>
    <t>~filtrarea datelor dupa anul analizat pentru</t>
  </si>
  <si>
    <t>elementele conectate la slicer</t>
  </si>
  <si>
    <t>Statistica descriptiva</t>
  </si>
  <si>
    <t>Rol: sintetizarea si descrierea setului de date</t>
  </si>
  <si>
    <t>~calculul salariului mediu</t>
  </si>
  <si>
    <t>~calculul inflatiei medii</t>
  </si>
  <si>
    <t>~calculul somajului mediu</t>
  </si>
  <si>
    <t>~determinarea numarului de ani analizati</t>
  </si>
  <si>
    <t>COMPETENTE DEMONSTRATE:</t>
  </si>
  <si>
    <t>~Microsoft Excel</t>
  </si>
  <si>
    <t>~Pivot Tables si Pivot Charts</t>
  </si>
  <si>
    <t>~Dashboard Design</t>
  </si>
  <si>
    <t>~Data Visualization</t>
  </si>
  <si>
    <t>~Descriptive Statistics</t>
  </si>
  <si>
    <t>~Trend Analysis</t>
  </si>
  <si>
    <t>~Interactive Reporting</t>
  </si>
  <si>
    <t>~Data Presentation</t>
  </si>
  <si>
    <t>~Economic Data Analysis</t>
  </si>
  <si>
    <t>~Business Intelligence(nivel introductiv)</t>
  </si>
  <si>
    <t>Analiza utilizeaza date istoricw aferente perioadei 2015-2025 si are un caracter descriptiv. Rezultatele evidentiaza tendintele observate in datele analizate si nu reprezinta prognoze economice oficiale</t>
  </si>
  <si>
    <t>~Elemente introductive de regresie liniare</t>
  </si>
  <si>
    <t>~Data Analysis</t>
  </si>
  <si>
    <t>~Micrososft Excel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</si>
</sst>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.00\ _l_e_i_-;\-* #,##0.00\ _l_e_i_-;_-* &quot;-&quot;??\ _l_e_i_-;_-@_-"/>
    <numFmt numFmtId="166" formatCode="_-* #,##0_-;\-* #,##0_-;_-* &quot;-&quot;??_-;_-@_-"/>
  </numFmts>
  <fonts count="3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color theme="6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0" borderId="0" xfId="0" applyFont="1"/>
    <xf numFmtId="164" fontId="0" fillId="0" borderId="0" xfId="1" applyNumberFormat="1" applyFont="1"/>
    <xf numFmtId="43" fontId="0" fillId="0" borderId="0" xfId="43" applyFont="1"/>
    <xf numFmtId="165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43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/>
    <xf numFmtId="0" fontId="0" fillId="0" borderId="0" xfId="0" applyAlignment="1">
      <alignment horizontal="left" wrapText="1"/>
    </xf>
    <xf numFmtId="0" fontId="21" fillId="33" borderId="0" xfId="0" applyFont="1" applyFill="1" applyBorder="1" applyAlignment="1"/>
    <xf numFmtId="0" fontId="0" fillId="33" borderId="0" xfId="0" applyFill="1" applyBorder="1" applyAlignment="1"/>
    <xf numFmtId="2" fontId="0" fillId="33" borderId="0" xfId="43" applyNumberFormat="1" applyFont="1" applyFill="1" applyBorder="1" applyAlignment="1">
      <alignment horizontal="left"/>
    </xf>
    <xf numFmtId="2" fontId="0" fillId="33" borderId="0" xfId="43" applyNumberFormat="1" applyFont="1" applyFill="1" applyBorder="1" applyAlignment="1">
      <alignment horizontal="left" vertical="center"/>
    </xf>
    <xf numFmtId="0" fontId="0" fillId="33" borderId="10" xfId="0" applyFill="1" applyBorder="1" applyAlignment="1"/>
    <xf numFmtId="0" fontId="27" fillId="36" borderId="11" xfId="0" applyFont="1" applyFill="1" applyBorder="1"/>
    <xf numFmtId="164" fontId="27" fillId="36" borderId="11" xfId="1" applyNumberFormat="1" applyFont="1" applyFill="1" applyBorder="1"/>
    <xf numFmtId="0" fontId="0" fillId="0" borderId="11" xfId="0" applyBorder="1"/>
    <xf numFmtId="164" fontId="0" fillId="0" borderId="11" xfId="1" applyNumberFormat="1" applyFont="1" applyBorder="1"/>
    <xf numFmtId="43" fontId="27" fillId="36" borderId="11" xfId="43" applyFont="1" applyFill="1" applyBorder="1"/>
    <xf numFmtId="43" fontId="0" fillId="0" borderId="11" xfId="43" applyFont="1" applyBorder="1"/>
    <xf numFmtId="0" fontId="27" fillId="33" borderId="11" xfId="0" applyFont="1" applyFill="1" applyBorder="1"/>
    <xf numFmtId="0" fontId="0" fillId="33" borderId="11" xfId="0" applyFill="1" applyBorder="1"/>
    <xf numFmtId="2" fontId="0" fillId="0" borderId="11" xfId="0" applyNumberFormat="1" applyBorder="1"/>
    <xf numFmtId="165" fontId="0" fillId="0" borderId="11" xfId="0" applyNumberFormat="1" applyBorder="1"/>
    <xf numFmtId="43" fontId="28" fillId="37" borderId="0" xfId="43" applyFont="1" applyFill="1"/>
    <xf numFmtId="0" fontId="19" fillId="38" borderId="11" xfId="0" applyFont="1" applyFill="1" applyBorder="1"/>
    <xf numFmtId="43" fontId="0" fillId="38" borderId="11" xfId="0" applyNumberFormat="1" applyFill="1" applyBorder="1"/>
    <xf numFmtId="166" fontId="0" fillId="0" borderId="0" xfId="0" applyNumberFormat="1"/>
    <xf numFmtId="0" fontId="28" fillId="39" borderId="0" xfId="0" applyFont="1" applyFill="1"/>
    <xf numFmtId="0" fontId="0" fillId="0" borderId="0" xfId="0" applyAlignment="1"/>
    <xf numFmtId="0" fontId="0" fillId="0" borderId="0" xfId="0" applyAlignment="1">
      <alignment vertical="top" wrapText="1"/>
    </xf>
    <xf numFmtId="0" fontId="13" fillId="39" borderId="0" xfId="0" applyFont="1" applyFill="1"/>
    <xf numFmtId="0" fontId="0" fillId="0" borderId="0" xfId="0" applyAlignment="1">
      <alignment vertical="center" wrapText="1"/>
    </xf>
    <xf numFmtId="0" fontId="30" fillId="39" borderId="0" xfId="0" applyFont="1" applyFill="1" applyAlignment="1">
      <alignment vertical="top" wrapText="1"/>
    </xf>
    <xf numFmtId="0" fontId="33" fillId="0" borderId="0" xfId="0" applyFont="1" applyAlignment="1">
      <alignment horizontal="center" vertical="top" wrapText="1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  <xf numFmtId="0" fontId="0" fillId="0" borderId="15" xfId="0" applyBorder="1" applyAlignment="1"/>
    <xf numFmtId="0" fontId="0" fillId="0" borderId="0" xfId="0" applyBorder="1" applyAlignment="1"/>
    <xf numFmtId="0" fontId="0" fillId="0" borderId="15" xfId="0" applyBorder="1"/>
    <xf numFmtId="0" fontId="19" fillId="0" borderId="12" xfId="0" applyFont="1" applyBorder="1"/>
    <xf numFmtId="0" fontId="19" fillId="0" borderId="13" xfId="0" applyFont="1" applyBorder="1"/>
    <xf numFmtId="0" fontId="33" fillId="0" borderId="15" xfId="0" applyFont="1" applyBorder="1"/>
    <xf numFmtId="0" fontId="33" fillId="0" borderId="0" xfId="0" applyFont="1" applyBorder="1"/>
    <xf numFmtId="0" fontId="35" fillId="0" borderId="0" xfId="0" applyFont="1" applyBorder="1"/>
    <xf numFmtId="0" fontId="34" fillId="0" borderId="15" xfId="0" applyFont="1" applyBorder="1"/>
    <xf numFmtId="0" fontId="34" fillId="0" borderId="0" xfId="0" applyFont="1" applyBorder="1"/>
    <xf numFmtId="0" fontId="35" fillId="0" borderId="15" xfId="0" applyFont="1" applyBorder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34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26" fillId="0" borderId="0" xfId="0" applyFont="1" applyAlignment="1">
      <alignment horizontal="center" wrapText="1"/>
    </xf>
    <xf numFmtId="0" fontId="32" fillId="39" borderId="0" xfId="0" applyFont="1" applyFill="1" applyAlignment="1">
      <alignment horizontal="center" vertical="top" wrapText="1"/>
    </xf>
    <xf numFmtId="2" fontId="31" fillId="39" borderId="0" xfId="0" applyNumberFormat="1" applyFont="1" applyFill="1" applyAlignment="1">
      <alignment horizontal="center" vertical="top" wrapText="1"/>
    </xf>
    <xf numFmtId="0" fontId="31" fillId="39" borderId="0" xfId="0" applyFont="1" applyFill="1" applyAlignment="1">
      <alignment horizontal="center" vertical="top" wrapText="1"/>
    </xf>
    <xf numFmtId="0" fontId="29" fillId="39" borderId="0" xfId="0" applyFont="1" applyFill="1" applyAlignment="1">
      <alignment horizontal="center"/>
    </xf>
    <xf numFmtId="0" fontId="28" fillId="39" borderId="0" xfId="0" applyFont="1" applyFill="1" applyAlignment="1">
      <alignment horizontal="center"/>
    </xf>
    <xf numFmtId="43" fontId="31" fillId="39" borderId="0" xfId="0" applyNumberFormat="1" applyFont="1" applyFill="1" applyAlignment="1">
      <alignment horizontal="left" vertical="center" wrapText="1"/>
    </xf>
    <xf numFmtId="0" fontId="25" fillId="39" borderId="0" xfId="0" applyFont="1" applyFill="1" applyAlignment="1">
      <alignment horizontal="center"/>
    </xf>
    <xf numFmtId="0" fontId="18" fillId="39" borderId="0" xfId="0" applyFont="1" applyFill="1" applyAlignment="1">
      <alignment horizontal="center" wrapText="1"/>
    </xf>
    <xf numFmtId="0" fontId="18" fillId="39" borderId="0" xfId="0" applyFont="1" applyFill="1" applyAlignment="1">
      <alignment horizontal="center"/>
    </xf>
    <xf numFmtId="0" fontId="3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8" fillId="39" borderId="0" xfId="0" applyFont="1" applyFill="1" applyAlignment="1">
      <alignment horizontal="center" wrapText="1"/>
    </xf>
    <xf numFmtId="0" fontId="19" fillId="39" borderId="0" xfId="0" applyFont="1" applyFill="1" applyAlignment="1">
      <alignment horizontal="center" wrapText="1"/>
    </xf>
    <xf numFmtId="0" fontId="29" fillId="39" borderId="0" xfId="0" applyFont="1" applyFill="1" applyAlignment="1">
      <alignment horizontal="center" vertical="center" wrapText="1"/>
    </xf>
    <xf numFmtId="0" fontId="27" fillId="39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top" wrapText="1"/>
    </xf>
    <xf numFmtId="0" fontId="34" fillId="0" borderId="15" xfId="0" applyFont="1" applyBorder="1"/>
    <xf numFmtId="0" fontId="34" fillId="0" borderId="0" xfId="0" applyFont="1" applyBorder="1"/>
    <xf numFmtId="0" fontId="34" fillId="0" borderId="16" xfId="0" applyFont="1" applyBorder="1"/>
    <xf numFmtId="0" fontId="27" fillId="39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un" xfId="7" builtinId="26" customBuiltin="1"/>
    <cellStyle name="Calcul" xfId="12" builtinId="22" customBuiltin="1"/>
    <cellStyle name="Celulă legată" xfId="13" builtinId="24" customBuiltin="1"/>
    <cellStyle name="Eronat" xfId="8" builtinId="27" customBuiltin="1"/>
    <cellStyle name="Ieșire" xfId="11" builtinId="21" customBuiltin="1"/>
    <cellStyle name="Intrare" xfId="10" builtinId="20" customBuiltin="1"/>
    <cellStyle name="Neutru" xfId="9" builtinId="28" customBuiltin="1"/>
    <cellStyle name="Normal" xfId="0" builtinId="0"/>
    <cellStyle name="Notă" xfId="16" builtinId="10" customBuiltin="1"/>
    <cellStyle name="Procent" xfId="1" builtinId="5"/>
    <cellStyle name="Text avertisment" xfId="15" builtinId="11" customBuiltin="1"/>
    <cellStyle name="Text explicativ" xfId="17" builtinId="53" customBuiltin="1"/>
    <cellStyle name="Titlu" xfId="2" builtinId="15" customBuiltin="1"/>
    <cellStyle name="Titlu 1" xfId="3" builtinId="16" customBuiltin="1"/>
    <cellStyle name="Titlu 2" xfId="4" builtinId="17" customBuiltin="1"/>
    <cellStyle name="Titlu 3" xfId="5" builtinId="18" customBuiltin="1"/>
    <cellStyle name="Titlu 4" xfId="6" builtinId="19" customBuiltin="1"/>
    <cellStyle name="Total" xfId="18" builtinId="25" customBuiltin="1"/>
    <cellStyle name="Verificare celulă" xfId="14" builtinId="23" customBuiltin="1"/>
    <cellStyle name="Virgulă" xfId="43" builtinId="3"/>
  </cellStyles>
  <dxfs count="3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.00\ _l_e_i_-;\-* #,##0.00\ _l_e_i_-;_-* &quot;-&quot;??\ _l_e_i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numFmt numFmtId="166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[Indicatorii Macroeconomici (2015-2025).xlsx]Analiza salariului mediu!PivotTable1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Evolutia</a:t>
            </a:r>
            <a:r>
              <a:rPr lang="en-US" sz="1600" b="1" baseline="0"/>
              <a:t> salariului mediu net in Romania (2015-2025)</a:t>
            </a:r>
            <a:endParaRPr lang="ro-RO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75599637928084"/>
          <c:y val="0.1322958500669344"/>
          <c:w val="0.84102474041610309"/>
          <c:h val="0.71909870452940372"/>
        </c:manualLayout>
      </c:layout>
      <c:lineChart>
        <c:grouping val="standard"/>
        <c:varyColors val="0"/>
        <c:ser>
          <c:idx val="0"/>
          <c:order val="0"/>
          <c:tx>
            <c:strRef>
              <c:f>'Analiza salariului mediu'!$B$3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1"/>
            <c:dispEq val="1"/>
            <c:trendlineLbl>
              <c:layout>
                <c:manualLayout>
                  <c:x val="4.9612240547161963E-2"/>
                  <c:y val="-8.209504685408300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y = 367,98x + 1269,8</a:t>
                    </a:r>
                    <a:b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</a:br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R² = 0,9777</a:t>
                    </a:r>
                    <a:endParaRPr lang="en-US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strRef>
              <c:f>'Analiza salariului mediu'!$A$4:$A$14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'Analiza salariului mediu'!$B$4:$B$14</c:f>
              <c:numCache>
                <c:formatCode>_-* #,##0_-;\-* #,##0_-;_-* "-"??_-;_-@_-</c:formatCode>
                <c:ptCount val="11"/>
                <c:pt idx="0">
                  <c:v>1848.25</c:v>
                </c:pt>
                <c:pt idx="1">
                  <c:v>2087.75</c:v>
                </c:pt>
                <c:pt idx="2">
                  <c:v>2383.5833333333335</c:v>
                </c:pt>
                <c:pt idx="3">
                  <c:v>2695.5833333333335</c:v>
                </c:pt>
                <c:pt idx="4">
                  <c:v>3098.5</c:v>
                </c:pt>
                <c:pt idx="5">
                  <c:v>3307.1666666666665</c:v>
                </c:pt>
                <c:pt idx="6">
                  <c:v>3543.1666666666665</c:v>
                </c:pt>
                <c:pt idx="7">
                  <c:v>3973.8333333333335</c:v>
                </c:pt>
                <c:pt idx="8">
                  <c:v>4584.166666666667</c:v>
                </c:pt>
                <c:pt idx="9">
                  <c:v>5196.666666666667</c:v>
                </c:pt>
                <c:pt idx="10">
                  <c:v>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D-4F06-ADA7-435FF0FB8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502672"/>
        <c:axId val="1261504752"/>
      </c:lineChart>
      <c:catAx>
        <c:axId val="126150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61504752"/>
        <c:crosses val="autoZero"/>
        <c:auto val="1"/>
        <c:lblAlgn val="ctr"/>
        <c:lblOffset val="100"/>
        <c:noMultiLvlLbl val="0"/>
      </c:catAx>
      <c:valAx>
        <c:axId val="126150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Salariu</a:t>
                </a:r>
                <a:r>
                  <a:rPr lang="ro-RO" baseline="0"/>
                  <a:t> mdiu net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6150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Evolutia</a:t>
            </a:r>
            <a:r>
              <a:rPr lang="en-US" baseline="0"/>
              <a:t> ratei inflatiei in Romania(2015-2025)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 Inflatie(%)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660493827160496E-3"/>
                  <c:y val="-5.344111111111111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y = 1,0549x - 1,1276</a:t>
                    </a:r>
                    <a:b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</a:br>
                    <a: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R² = 0,4999</a:t>
                    </a:r>
                    <a:endParaRPr lang="en-US">
                      <a:solidFill>
                        <a:schemeClr val="bg2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numLit>
              <c:formatCode>General</c:formatCode>
              <c:ptCount val="11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</c:numLit>
          </c:cat>
          <c:val>
            <c:numLit>
              <c:formatCode>General</c:formatCode>
              <c:ptCount val="11"/>
              <c:pt idx="0">
                <c:v>-0.93</c:v>
              </c:pt>
              <c:pt idx="1">
                <c:v>-0.54</c:v>
              </c:pt>
              <c:pt idx="2">
                <c:v>3.32</c:v>
              </c:pt>
              <c:pt idx="3">
                <c:v>3.27</c:v>
              </c:pt>
              <c:pt idx="4">
                <c:v>4.04</c:v>
              </c:pt>
              <c:pt idx="5">
                <c:v>2.06</c:v>
              </c:pt>
              <c:pt idx="6">
                <c:v>8.19</c:v>
              </c:pt>
              <c:pt idx="7">
                <c:v>16.37</c:v>
              </c:pt>
              <c:pt idx="8">
                <c:v>6.61</c:v>
              </c:pt>
              <c:pt idx="9">
                <c:v>5.14</c:v>
              </c:pt>
              <c:pt idx="10">
                <c:v>9.69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DBE-453F-9C68-8A89BA5D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87568"/>
        <c:axId val="1995386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Inflatie!$B$1</c15:sqref>
                        </c15:formulaRef>
                      </c:ext>
                    </c:extLst>
                    <c:strCache>
                      <c:ptCount val="1"/>
                      <c:pt idx="0">
                        <c:v>IPC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Inflatie!$A$2:$A$12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Inflatie!$B$2:$B$12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99.07</c:v>
                      </c:pt>
                      <c:pt idx="1">
                        <c:v>99.46</c:v>
                      </c:pt>
                      <c:pt idx="2">
                        <c:v>103.32</c:v>
                      </c:pt>
                      <c:pt idx="3">
                        <c:v>103.27</c:v>
                      </c:pt>
                      <c:pt idx="4">
                        <c:v>104.04</c:v>
                      </c:pt>
                      <c:pt idx="5">
                        <c:v>102.06</c:v>
                      </c:pt>
                      <c:pt idx="6">
                        <c:v>108.19</c:v>
                      </c:pt>
                      <c:pt idx="7">
                        <c:v>116.37</c:v>
                      </c:pt>
                      <c:pt idx="8">
                        <c:v>106.61</c:v>
                      </c:pt>
                      <c:pt idx="9">
                        <c:v>105.14</c:v>
                      </c:pt>
                      <c:pt idx="10">
                        <c:v>109.69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BE-453F-9C68-8A89BA5D7B65}"/>
                  </c:ext>
                </c:extLst>
              </c15:ser>
            </c15:filteredLineSeries>
          </c:ext>
        </c:extLst>
      </c:lineChart>
      <c:catAx>
        <c:axId val="199538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95386736"/>
        <c:crosses val="autoZero"/>
        <c:auto val="1"/>
        <c:lblAlgn val="ctr"/>
        <c:lblOffset val="100"/>
        <c:noMultiLvlLbl val="0"/>
      </c:catAx>
      <c:valAx>
        <c:axId val="19953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9538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Evolutia</a:t>
            </a:r>
            <a:r>
              <a:rPr lang="en-US" sz="1800" b="1" baseline="0"/>
              <a:t> ratei somajului in Romania(2015-2025)</a:t>
            </a:r>
            <a:endParaRPr lang="ro-RO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>
        <c:manualLayout>
          <c:layoutTarget val="inner"/>
          <c:xMode val="edge"/>
          <c:yMode val="edge"/>
          <c:x val="7.4671456026356733E-2"/>
          <c:y val="0.15960472222222225"/>
          <c:w val="0.90971889204112133"/>
          <c:h val="0.65033222222222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292597807172556E-2"/>
                  <c:y val="-0.1759124704006593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-0,1664x + 4,5345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0,551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numRef>
              <c:f>Somaj!$A$4:$A$14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Somaj!$B$4:$B$14</c:f>
              <c:numCache>
                <c:formatCode>0.00</c:formatCode>
                <c:ptCount val="11"/>
                <c:pt idx="0">
                  <c:v>5</c:v>
                </c:pt>
                <c:pt idx="1">
                  <c:v>4.8</c:v>
                </c:pt>
                <c:pt idx="2">
                  <c:v>4</c:v>
                </c:pt>
                <c:pt idx="3">
                  <c:v>3.3</c:v>
                </c:pt>
                <c:pt idx="4">
                  <c:v>2.9</c:v>
                </c:pt>
                <c:pt idx="5">
                  <c:v>3.4</c:v>
                </c:pt>
                <c:pt idx="6">
                  <c:v>3</c:v>
                </c:pt>
                <c:pt idx="7">
                  <c:v>3</c:v>
                </c:pt>
                <c:pt idx="8">
                  <c:v>2.9</c:v>
                </c:pt>
                <c:pt idx="9">
                  <c:v>3.3</c:v>
                </c:pt>
                <c:pt idx="10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B-410E-94C9-220784FC0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780512"/>
        <c:axId val="944775936"/>
      </c:lineChart>
      <c:catAx>
        <c:axId val="94478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</a:t>
                </a:r>
                <a:endParaRPr lang="ro-RO"/>
              </a:p>
            </c:rich>
          </c:tx>
          <c:layout>
            <c:manualLayout>
              <c:xMode val="edge"/>
              <c:yMode val="edge"/>
              <c:x val="0.46412379702537182"/>
              <c:y val="0.88053883871283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44775936"/>
        <c:crosses val="autoZero"/>
        <c:auto val="1"/>
        <c:lblAlgn val="ctr"/>
        <c:lblOffset val="100"/>
        <c:noMultiLvlLbl val="0"/>
      </c:catAx>
      <c:valAx>
        <c:axId val="944775936"/>
        <c:scaling>
          <c:orientation val="minMax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Rata</a:t>
                </a:r>
                <a:r>
                  <a:rPr lang="en-US" baseline="0"/>
                  <a:t> somajului%</a:t>
                </a:r>
                <a:endParaRPr lang="ro-RO"/>
              </a:p>
            </c:rich>
          </c:tx>
          <c:layout>
            <c:manualLayout>
              <c:xMode val="edge"/>
              <c:yMode val="edge"/>
              <c:x val="2.4038314877520515E-4"/>
              <c:y val="0.37275361111111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4478051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[Indicatorii Macroeconomici (2015-2025).xlsx]Analiza salariului mediu!PivotTable1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Evolutia</a:t>
            </a:r>
            <a:r>
              <a:rPr lang="en-US" sz="1600" b="1" baseline="0"/>
              <a:t> salariului mediu net in Romania (2015-2025)</a:t>
            </a:r>
            <a:endParaRPr lang="ro-RO" sz="1600" b="1"/>
          </a:p>
        </c:rich>
      </c:tx>
      <c:layout>
        <c:manualLayout>
          <c:xMode val="edge"/>
          <c:yMode val="edge"/>
          <c:x val="0.12272256728778468"/>
          <c:y val="3.3003300330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75599637928084"/>
          <c:y val="0.1322958500669344"/>
          <c:w val="0.84102474041610309"/>
          <c:h val="0.71909870452940372"/>
        </c:manualLayout>
      </c:layout>
      <c:lineChart>
        <c:grouping val="standard"/>
        <c:varyColors val="0"/>
        <c:ser>
          <c:idx val="0"/>
          <c:order val="0"/>
          <c:tx>
            <c:strRef>
              <c:f>'Analiza salariului mediu'!$B$3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1"/>
            <c:dispEq val="1"/>
            <c:trendlineLbl>
              <c:layout>
                <c:manualLayout>
                  <c:x val="5.0329306662754016E-2"/>
                  <c:y val="-7.72905243280233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y = 367,98x + 1269,8</a:t>
                    </a:r>
                    <a:b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</a:br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R² = 0,9777</a:t>
                    </a:r>
                    <a:endParaRPr lang="en-US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strRef>
              <c:f>'Analiza salariului mediu'!$A$4:$A$14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'Analiza salariului mediu'!$B$4:$B$14</c:f>
              <c:numCache>
                <c:formatCode>_-* #,##0_-;\-* #,##0_-;_-* "-"??_-;_-@_-</c:formatCode>
                <c:ptCount val="11"/>
                <c:pt idx="0">
                  <c:v>1848.25</c:v>
                </c:pt>
                <c:pt idx="1">
                  <c:v>2087.75</c:v>
                </c:pt>
                <c:pt idx="2">
                  <c:v>2383.5833333333335</c:v>
                </c:pt>
                <c:pt idx="3">
                  <c:v>2695.5833333333335</c:v>
                </c:pt>
                <c:pt idx="4">
                  <c:v>3098.5</c:v>
                </c:pt>
                <c:pt idx="5">
                  <c:v>3307.1666666666665</c:v>
                </c:pt>
                <c:pt idx="6">
                  <c:v>3543.1666666666665</c:v>
                </c:pt>
                <c:pt idx="7">
                  <c:v>3973.8333333333335</c:v>
                </c:pt>
                <c:pt idx="8">
                  <c:v>4584.166666666667</c:v>
                </c:pt>
                <c:pt idx="9">
                  <c:v>5196.666666666667</c:v>
                </c:pt>
                <c:pt idx="10">
                  <c:v>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F-4E81-AC8A-5547FE1B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502672"/>
        <c:axId val="1261504752"/>
      </c:lineChart>
      <c:catAx>
        <c:axId val="126150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61504752"/>
        <c:crosses val="autoZero"/>
        <c:auto val="1"/>
        <c:lblAlgn val="ctr"/>
        <c:lblOffset val="100"/>
        <c:noMultiLvlLbl val="0"/>
      </c:catAx>
      <c:valAx>
        <c:axId val="126150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Salariu</a:t>
                </a:r>
                <a:r>
                  <a:rPr lang="ro-RO" baseline="0"/>
                  <a:t> m</a:t>
                </a:r>
                <a:r>
                  <a:rPr lang="en-US" baseline="0"/>
                  <a:t>e</a:t>
                </a:r>
                <a:r>
                  <a:rPr lang="ro-RO" baseline="0"/>
                  <a:t>diu net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6150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Evolutia</a:t>
            </a:r>
            <a:r>
              <a:rPr lang="en-US" baseline="0"/>
              <a:t> ratei inflatiei in Romania(2015-2025)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>
        <c:manualLayout>
          <c:layoutTarget val="inner"/>
          <c:xMode val="edge"/>
          <c:yMode val="edge"/>
          <c:x val="6.2330769230769231E-2"/>
          <c:y val="0.16676309523809527"/>
          <c:w val="0.90510512820512823"/>
          <c:h val="0.75764166666666666"/>
        </c:manualLayout>
      </c:layout>
      <c:lineChart>
        <c:grouping val="standard"/>
        <c:varyColors val="0"/>
        <c:ser>
          <c:idx val="1"/>
          <c:order val="1"/>
          <c:tx>
            <c:v> Inflatie(%)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660493827160496E-3"/>
                  <c:y val="-5.344111111111111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y = 1,0549x - 1,1276</a:t>
                    </a:r>
                    <a:b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</a:br>
                    <a:r>
                      <a:rPr lang="en-US" baseline="0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R² = 0,4999</a:t>
                    </a:r>
                    <a:endParaRPr lang="en-US">
                      <a:solidFill>
                        <a:schemeClr val="bg2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numLit>
              <c:formatCode>General</c:formatCode>
              <c:ptCount val="11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</c:numLit>
          </c:cat>
          <c:val>
            <c:numLit>
              <c:formatCode>General</c:formatCode>
              <c:ptCount val="11"/>
              <c:pt idx="0">
                <c:v>-0.93</c:v>
              </c:pt>
              <c:pt idx="1">
                <c:v>-0.54</c:v>
              </c:pt>
              <c:pt idx="2">
                <c:v>3.32</c:v>
              </c:pt>
              <c:pt idx="3">
                <c:v>3.27</c:v>
              </c:pt>
              <c:pt idx="4">
                <c:v>4.04</c:v>
              </c:pt>
              <c:pt idx="5">
                <c:v>2.06</c:v>
              </c:pt>
              <c:pt idx="6">
                <c:v>8.19</c:v>
              </c:pt>
              <c:pt idx="7">
                <c:v>16.37</c:v>
              </c:pt>
              <c:pt idx="8">
                <c:v>6.61</c:v>
              </c:pt>
              <c:pt idx="9">
                <c:v>5.14</c:v>
              </c:pt>
              <c:pt idx="10">
                <c:v>9.69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F5A-4B8D-9393-502554E9B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87568"/>
        <c:axId val="1995386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Inflatie!$B$1</c15:sqref>
                        </c15:formulaRef>
                      </c:ext>
                    </c:extLst>
                    <c:strCache>
                      <c:ptCount val="1"/>
                      <c:pt idx="0">
                        <c:v>IPC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Inflatie!$A$2:$A$12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Inflatie!$B$2:$B$12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99.07</c:v>
                      </c:pt>
                      <c:pt idx="1">
                        <c:v>99.46</c:v>
                      </c:pt>
                      <c:pt idx="2">
                        <c:v>103.32</c:v>
                      </c:pt>
                      <c:pt idx="3">
                        <c:v>103.27</c:v>
                      </c:pt>
                      <c:pt idx="4">
                        <c:v>104.04</c:v>
                      </c:pt>
                      <c:pt idx="5">
                        <c:v>102.06</c:v>
                      </c:pt>
                      <c:pt idx="6">
                        <c:v>108.19</c:v>
                      </c:pt>
                      <c:pt idx="7">
                        <c:v>116.37</c:v>
                      </c:pt>
                      <c:pt idx="8">
                        <c:v>106.61</c:v>
                      </c:pt>
                      <c:pt idx="9">
                        <c:v>105.14</c:v>
                      </c:pt>
                      <c:pt idx="10">
                        <c:v>109.69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F5A-4B8D-9393-502554E9B472}"/>
                  </c:ext>
                </c:extLst>
              </c15:ser>
            </c15:filteredLineSeries>
          </c:ext>
        </c:extLst>
      </c:lineChart>
      <c:catAx>
        <c:axId val="199538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95386736"/>
        <c:crosses val="autoZero"/>
        <c:auto val="1"/>
        <c:lblAlgn val="ctr"/>
        <c:lblOffset val="100"/>
        <c:noMultiLvlLbl val="0"/>
      </c:catAx>
      <c:valAx>
        <c:axId val="199538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9538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Evolutia</a:t>
            </a:r>
            <a:r>
              <a:rPr lang="en-US" sz="1800" b="1" baseline="0"/>
              <a:t> ratei somajului in Romania(2015-2025)</a:t>
            </a:r>
            <a:endParaRPr lang="ro-RO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>
        <c:manualLayout>
          <c:layoutTarget val="inner"/>
          <c:xMode val="edge"/>
          <c:yMode val="edge"/>
          <c:x val="8.9329943287672256E-2"/>
          <c:y val="0.14009993624613959"/>
          <c:w val="0.90971889204112133"/>
          <c:h val="0.65033222222222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292597807172556E-2"/>
                  <c:y val="-0.1759124704006593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-0,1664x + 4,5345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0,551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numRef>
              <c:f>Somaj!$A$4:$A$14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Somaj!$B$4:$B$14</c:f>
              <c:numCache>
                <c:formatCode>0.00</c:formatCode>
                <c:ptCount val="11"/>
                <c:pt idx="0">
                  <c:v>5</c:v>
                </c:pt>
                <c:pt idx="1">
                  <c:v>4.8</c:v>
                </c:pt>
                <c:pt idx="2">
                  <c:v>4</c:v>
                </c:pt>
                <c:pt idx="3">
                  <c:v>3.3</c:v>
                </c:pt>
                <c:pt idx="4">
                  <c:v>2.9</c:v>
                </c:pt>
                <c:pt idx="5">
                  <c:v>3.4</c:v>
                </c:pt>
                <c:pt idx="6">
                  <c:v>3</c:v>
                </c:pt>
                <c:pt idx="7">
                  <c:v>3</c:v>
                </c:pt>
                <c:pt idx="8">
                  <c:v>2.9</c:v>
                </c:pt>
                <c:pt idx="9">
                  <c:v>3.3</c:v>
                </c:pt>
                <c:pt idx="10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6-4227-8BAA-67A9616E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780512"/>
        <c:axId val="944775936"/>
      </c:lineChart>
      <c:catAx>
        <c:axId val="94478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</a:t>
                </a:r>
                <a:endParaRPr lang="ro-RO"/>
              </a:p>
            </c:rich>
          </c:tx>
          <c:layout>
            <c:manualLayout>
              <c:xMode val="edge"/>
              <c:yMode val="edge"/>
              <c:x val="0.46412379702537182"/>
              <c:y val="0.88053883871283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44775936"/>
        <c:crosses val="autoZero"/>
        <c:auto val="1"/>
        <c:lblAlgn val="ctr"/>
        <c:lblOffset val="100"/>
        <c:noMultiLvlLbl val="0"/>
      </c:catAx>
      <c:valAx>
        <c:axId val="944775936"/>
        <c:scaling>
          <c:orientation val="minMax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Rata</a:t>
                </a:r>
                <a:r>
                  <a:rPr lang="en-US" baseline="0"/>
                  <a:t> somajului%</a:t>
                </a:r>
                <a:endParaRPr lang="ro-RO"/>
              </a:p>
            </c:rich>
          </c:tx>
          <c:layout>
            <c:manualLayout>
              <c:xMode val="edge"/>
              <c:yMode val="edge"/>
              <c:x val="7.7428826517780797E-2"/>
              <c:y val="0.3677138888888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4478051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22860</xdr:rowOff>
    </xdr:from>
    <xdr:to>
      <xdr:col>13</xdr:col>
      <xdr:colOff>345900</xdr:colOff>
      <xdr:row>21</xdr:row>
      <xdr:rowOff>148140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4CAE9A56-2C24-4EA4-800B-5965AD81E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7620</xdr:colOff>
      <xdr:row>2</xdr:row>
      <xdr:rowOff>137160</xdr:rowOff>
    </xdr:from>
    <xdr:to>
      <xdr:col>18</xdr:col>
      <xdr:colOff>83820</xdr:colOff>
      <xdr:row>20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">
              <a:extLst>
                <a:ext uri="{FF2B5EF4-FFF2-40B4-BE49-F238E27FC236}">
                  <a16:creationId xmlns:a16="http://schemas.microsoft.com/office/drawing/2014/main" id="{AD3FE96C-2689-47F3-A34A-7930FD0A4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4540" y="502920"/>
              <a:ext cx="190500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6</xdr:row>
      <xdr:rowOff>152400</xdr:rowOff>
    </xdr:from>
    <xdr:to>
      <xdr:col>14</xdr:col>
      <xdr:colOff>361140</xdr:colOff>
      <xdr:row>26</xdr:row>
      <xdr:rowOff>94800</xdr:rowOff>
    </xdr:to>
    <xdr:graphicFrame macro="">
      <xdr:nvGraphicFramePr>
        <xdr:cNvPr id="8" name="Diagramă 7">
          <a:extLst>
            <a:ext uri="{FF2B5EF4-FFF2-40B4-BE49-F238E27FC236}">
              <a16:creationId xmlns:a16="http://schemas.microsoft.com/office/drawing/2014/main" id="{1DCF1B74-D50B-4100-BD5A-43CAB9F0E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15</xdr:row>
      <xdr:rowOff>0</xdr:rowOff>
    </xdr:from>
    <xdr:to>
      <xdr:col>7</xdr:col>
      <xdr:colOff>18240</xdr:colOff>
      <xdr:row>34</xdr:row>
      <xdr:rowOff>79560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C8F744D4-F2CD-4468-BA35-D9ACE0BCE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99060</xdr:rowOff>
    </xdr:from>
    <xdr:to>
      <xdr:col>7</xdr:col>
      <xdr:colOff>412800</xdr:colOff>
      <xdr:row>23</xdr:row>
      <xdr:rowOff>58740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89E7B0FC-BEA1-42E5-9A86-728800235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403860</xdr:colOff>
      <xdr:row>20</xdr:row>
      <xdr:rowOff>152400</xdr:rowOff>
    </xdr:from>
    <xdr:to>
      <xdr:col>16</xdr:col>
      <xdr:colOff>228600</xdr:colOff>
      <xdr:row>34</xdr:row>
      <xdr:rowOff>112080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35ABB2DF-4345-4966-9A2B-98A37DD6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297180</xdr:colOff>
      <xdr:row>7</xdr:row>
      <xdr:rowOff>106680</xdr:rowOff>
    </xdr:from>
    <xdr:to>
      <xdr:col>16</xdr:col>
      <xdr:colOff>191820</xdr:colOff>
      <xdr:row>21</xdr:row>
      <xdr:rowOff>66360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B6FFE7F8-E5A1-4C4A-948C-ECE0FA3B4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601980</xdr:colOff>
      <xdr:row>3</xdr:row>
      <xdr:rowOff>22860</xdr:rowOff>
    </xdr:from>
    <xdr:to>
      <xdr:col>20</xdr:col>
      <xdr:colOff>68580</xdr:colOff>
      <xdr:row>20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 1">
              <a:extLst>
                <a:ext uri="{FF2B5EF4-FFF2-40B4-BE49-F238E27FC236}">
                  <a16:creationId xmlns:a16="http://schemas.microsoft.com/office/drawing/2014/main" id="{A0E95B16-9616-4C10-AE3B-5F3647AA7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5580" y="716280"/>
              <a:ext cx="190500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lia" refreshedDate="46196.843754629626" createdVersion="7" refreshedVersion="7" minRefreshableVersion="3" recordCount="133" xr:uid="{00000000-000A-0000-FFFF-FFFF03000000}">
  <cacheSource type="worksheet">
    <worksheetSource ref="A1:E1048576" sheet="Date brute"/>
  </cacheSource>
  <cacheFields count="5">
    <cacheField name="SECTOR" numFmtId="0">
      <sharedItems containsBlank="1"/>
    </cacheField>
    <cacheField name="Luna" numFmtId="0">
      <sharedItems containsBlank="1"/>
    </cacheField>
    <cacheField name="Moneda" numFmtId="0">
      <sharedItems containsBlank="1"/>
    </cacheField>
    <cacheField name="Salariu" numFmtId="0">
      <sharedItems containsString="0" containsBlank="1" containsNumber="1" containsInteger="1" minValue="1731" maxValue="5914"/>
    </cacheField>
    <cacheField name="An" numFmtId="0">
      <sharedItems containsBlank="1" count="12">
        <s v="2015"/>
        <s v="2016"/>
        <s v="2017"/>
        <s v="2018"/>
        <s v="2019"/>
        <s v="2020"/>
        <s v="2021"/>
        <s v="2022"/>
        <s v="2023"/>
        <s v="2024"/>
        <s v="2025"/>
        <m/>
      </sharedItems>
    </cacheField>
  </cacheFields>
  <extLst>
    <ext xmlns:x14="http://schemas.microsoft.com/office/spreadsheetml/2009/9/main" uri="{725AE2AE-9491-48be-B2B4-4EB974FC3084}">
      <x14:pivotCacheDefinition pivotCacheId="1078393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TOTAL"/>
    <s v=" Luna ianuarie 2015"/>
    <s v=" Lei RON"/>
    <n v="1740"/>
    <x v="0"/>
  </r>
  <r>
    <s v="TOTAL"/>
    <s v=" Luna februarie 2015"/>
    <s v=" Lei RON"/>
    <n v="1731"/>
    <x v="0"/>
  </r>
  <r>
    <s v="TOTAL"/>
    <s v=" Luna martie 2015"/>
    <s v=" Lei RON"/>
    <n v="1829"/>
    <x v="0"/>
  </r>
  <r>
    <s v="TOTAL"/>
    <s v=" Luna aprilie 2015"/>
    <s v=" Lei RON"/>
    <n v="1857"/>
    <x v="0"/>
  </r>
  <r>
    <s v="TOTAL"/>
    <s v=" Luna mai 2015"/>
    <s v=" Lei RON"/>
    <n v="1806"/>
    <x v="0"/>
  </r>
  <r>
    <s v="TOTAL"/>
    <s v=" Luna iunie 2015"/>
    <s v=" Lei RON"/>
    <n v="1818"/>
    <x v="0"/>
  </r>
  <r>
    <s v="TOTAL"/>
    <s v=" Luna iulie 2015"/>
    <s v=" Lei RON"/>
    <n v="1849"/>
    <x v="0"/>
  </r>
  <r>
    <s v="TOTAL"/>
    <s v=" Luna august 2015"/>
    <s v=" Lei RON"/>
    <n v="1813"/>
    <x v="0"/>
  </r>
  <r>
    <s v="TOTAL"/>
    <s v=" Luna septembrie 2015"/>
    <s v=" Lei RON"/>
    <n v="1833"/>
    <x v="0"/>
  </r>
  <r>
    <s v="TOTAL"/>
    <s v=" Luna octombrie 2015"/>
    <s v=" Lei RON"/>
    <n v="1871"/>
    <x v="0"/>
  </r>
  <r>
    <s v="TOTAL"/>
    <s v=" Luna noiembrie 2015"/>
    <s v=" Lei RON"/>
    <n v="1918"/>
    <x v="0"/>
  </r>
  <r>
    <s v="TOTAL"/>
    <s v=" Luna decembrie 2015"/>
    <s v=" Lei RON"/>
    <n v="2114"/>
    <x v="0"/>
  </r>
  <r>
    <s v="TOTAL"/>
    <s v=" Luna ianuarie 2016"/>
    <s v=" Lei RON"/>
    <n v="1943"/>
    <x v="1"/>
  </r>
  <r>
    <s v="TOTAL"/>
    <s v=" Luna februarie 2016"/>
    <s v=" Lei RON"/>
    <n v="1950"/>
    <x v="1"/>
  </r>
  <r>
    <s v="TOTAL"/>
    <s v=" Luna martie 2016"/>
    <s v=" Lei RON"/>
    <n v="2051"/>
    <x v="1"/>
  </r>
  <r>
    <s v="TOTAL"/>
    <s v=" Luna aprilie 2016"/>
    <s v=" Lei RON"/>
    <n v="2086"/>
    <x v="1"/>
  </r>
  <r>
    <s v="TOTAL"/>
    <s v=" Luna mai 2016"/>
    <s v=" Lei RON"/>
    <n v="2063"/>
    <x v="1"/>
  </r>
  <r>
    <s v="TOTAL"/>
    <s v=" Luna iunie 2016"/>
    <s v=" Lei RON"/>
    <n v="2078"/>
    <x v="1"/>
  </r>
  <r>
    <s v="TOTAL"/>
    <s v=" Luna iulie 2016"/>
    <s v=" Lei RON"/>
    <n v="2078"/>
    <x v="1"/>
  </r>
  <r>
    <s v="TOTAL"/>
    <s v=" Luna august 2016"/>
    <s v=" Lei RON"/>
    <n v="2076"/>
    <x v="1"/>
  </r>
  <r>
    <s v="TOTAL"/>
    <s v=" Luna septembrie 2016"/>
    <s v=" Lei RON"/>
    <n v="2094"/>
    <x v="1"/>
  </r>
  <r>
    <s v="TOTAL"/>
    <s v=" Luna octombrie 2016"/>
    <s v=" Lei RON"/>
    <n v="2108"/>
    <x v="1"/>
  </r>
  <r>
    <s v="TOTAL"/>
    <s v=" Luna noiembrie 2016"/>
    <s v=" Lei RON"/>
    <n v="2172"/>
    <x v="1"/>
  </r>
  <r>
    <s v="TOTAL"/>
    <s v=" Luna decembrie 2016"/>
    <s v=" Lei RON"/>
    <n v="2354"/>
    <x v="1"/>
  </r>
  <r>
    <s v="TOTAL"/>
    <s v=" Luna ianuarie 2017"/>
    <s v=" Lei RON"/>
    <n v="2300"/>
    <x v="2"/>
  </r>
  <r>
    <s v="TOTAL"/>
    <s v=" Luna februarie 2017"/>
    <s v=" Lei RON"/>
    <n v="2236"/>
    <x v="2"/>
  </r>
  <r>
    <s v="TOTAL"/>
    <s v=" Luna martie 2017"/>
    <s v=" Lei RON"/>
    <n v="2342"/>
    <x v="2"/>
  </r>
  <r>
    <s v="TOTAL"/>
    <s v=" Luna aprilie 2017"/>
    <s v=" Lei RON"/>
    <n v="2366"/>
    <x v="2"/>
  </r>
  <r>
    <s v="TOTAL"/>
    <s v=" Luna mai 2017"/>
    <s v=" Lei RON"/>
    <n v="2363"/>
    <x v="2"/>
  </r>
  <r>
    <s v="TOTAL"/>
    <s v=" Luna iunie 2017"/>
    <s v=" Lei RON"/>
    <n v="2380"/>
    <x v="2"/>
  </r>
  <r>
    <s v="TOTAL"/>
    <s v=" Luna iulie 2017"/>
    <s v=" Lei RON"/>
    <n v="2391"/>
    <x v="2"/>
  </r>
  <r>
    <s v="TOTAL"/>
    <s v=" Luna august 2017"/>
    <s v=" Lei RON"/>
    <n v="2364"/>
    <x v="2"/>
  </r>
  <r>
    <s v="TOTAL"/>
    <s v=" Luna septembrie 2017"/>
    <s v=" Lei RON"/>
    <n v="2376"/>
    <x v="2"/>
  </r>
  <r>
    <s v="TOTAL"/>
    <s v=" Luna octombrie 2017"/>
    <s v=" Lei RON"/>
    <n v="2392"/>
    <x v="2"/>
  </r>
  <r>
    <s v="TOTAL"/>
    <s v=" Luna noiembrie 2017"/>
    <s v=" Lei RON"/>
    <n v="2464"/>
    <x v="2"/>
  </r>
  <r>
    <s v="TOTAL"/>
    <s v=" Luna decembrie 2017"/>
    <s v=" Lei RON"/>
    <n v="2629"/>
    <x v="2"/>
  </r>
  <r>
    <s v="TOTAL"/>
    <s v=" Luna ianuarie 2018"/>
    <s v=" Lei RON"/>
    <n v="2484"/>
    <x v="3"/>
  </r>
  <r>
    <s v="TOTAL"/>
    <s v=" Luna februarie 2018"/>
    <s v=" Lei RON"/>
    <n v="2487"/>
    <x v="3"/>
  </r>
  <r>
    <s v="TOTAL"/>
    <s v=" Luna martie 2018"/>
    <s v=" Lei RON"/>
    <n v="2704"/>
    <x v="3"/>
  </r>
  <r>
    <s v="TOTAL"/>
    <s v=" Luna aprilie 2018"/>
    <s v=" Lei RON"/>
    <n v="2713"/>
    <x v="3"/>
  </r>
  <r>
    <s v="TOTAL"/>
    <s v=" Luna mai 2018"/>
    <s v=" Lei RON"/>
    <n v="2704"/>
    <x v="3"/>
  </r>
  <r>
    <s v="TOTAL"/>
    <s v=" Luna iunie 2018"/>
    <s v=" Lei RON"/>
    <n v="2721"/>
    <x v="3"/>
  </r>
  <r>
    <s v="TOTAL"/>
    <s v=" Luna iulie 2018"/>
    <s v=" Lei RON"/>
    <n v="2708"/>
    <x v="3"/>
  </r>
  <r>
    <s v="TOTAL"/>
    <s v=" Luna august 2018"/>
    <s v=" Lei RON"/>
    <n v="2669"/>
    <x v="3"/>
  </r>
  <r>
    <s v="TOTAL"/>
    <s v=" Luna septembrie 2018"/>
    <s v=" Lei RON"/>
    <n v="2688"/>
    <x v="3"/>
  </r>
  <r>
    <s v="TOTAL"/>
    <s v=" Luna octombrie 2018"/>
    <s v=" Lei RON"/>
    <n v="2720"/>
    <x v="3"/>
  </r>
  <r>
    <s v="TOTAL"/>
    <s v=" Luna noiembrie 2018"/>
    <s v=" Lei RON"/>
    <n v="2792"/>
    <x v="3"/>
  </r>
  <r>
    <s v="TOTAL"/>
    <s v=" Luna decembrie 2018"/>
    <s v=" Lei RON"/>
    <n v="2957"/>
    <x v="3"/>
  </r>
  <r>
    <s v="TOTAL"/>
    <s v=" Luna ianuarie 2019"/>
    <s v=" Lei RON"/>
    <n v="2936"/>
    <x v="4"/>
  </r>
  <r>
    <s v="TOTAL"/>
    <s v=" Luna februarie 2019"/>
    <s v=" Lei RON"/>
    <n v="2933"/>
    <x v="4"/>
  </r>
  <r>
    <s v="TOTAL"/>
    <s v=" Luna martie 2019"/>
    <s v=" Lei RON"/>
    <n v="3075"/>
    <x v="4"/>
  </r>
  <r>
    <s v="TOTAL"/>
    <s v=" Luna aprilie 2019"/>
    <s v=" Lei RON"/>
    <n v="3115"/>
    <x v="4"/>
  </r>
  <r>
    <s v="TOTAL"/>
    <s v=" Luna mai 2019"/>
    <s v=" Lei RON"/>
    <n v="3101"/>
    <x v="4"/>
  </r>
  <r>
    <s v="TOTAL"/>
    <s v=" Luna iunie 2019"/>
    <s v=" Lei RON"/>
    <n v="3142"/>
    <x v="4"/>
  </r>
  <r>
    <s v="TOTAL"/>
    <s v=" Luna iulie 2019"/>
    <s v=" Lei RON"/>
    <n v="3119"/>
    <x v="4"/>
  </r>
  <r>
    <s v="TOTAL"/>
    <s v=" Luna august 2019"/>
    <s v=" Lei RON"/>
    <n v="3044"/>
    <x v="4"/>
  </r>
  <r>
    <s v="TOTAL"/>
    <s v=" Luna septembrie 2019"/>
    <s v=" Lei RON"/>
    <n v="3082"/>
    <x v="4"/>
  </r>
  <r>
    <s v="TOTAL"/>
    <s v=" Luna octombrie 2019"/>
    <s v=" Lei RON"/>
    <n v="3116"/>
    <x v="4"/>
  </r>
  <r>
    <s v="TOTAL"/>
    <s v=" Luna noiembrie 2019"/>
    <s v=" Lei RON"/>
    <n v="3179"/>
    <x v="4"/>
  </r>
  <r>
    <s v="TOTAL"/>
    <s v=" Luna decembrie 2019"/>
    <s v=" Lei RON"/>
    <n v="3340"/>
    <x v="4"/>
  </r>
  <r>
    <s v="TOTAL"/>
    <s v=" Luna ianuarie 2020"/>
    <s v=" Lei RON"/>
    <n v="3189"/>
    <x v="5"/>
  </r>
  <r>
    <s v="TOTAL"/>
    <s v=" Luna februarie 2020"/>
    <s v=" Lei RON"/>
    <n v="3202"/>
    <x v="5"/>
  </r>
  <r>
    <s v="TOTAL"/>
    <s v=" Luna martie 2020"/>
    <s v=" Lei RON"/>
    <n v="3294"/>
    <x v="5"/>
  </r>
  <r>
    <s v="TOTAL"/>
    <s v=" Luna aprilie 2020"/>
    <s v=" Lei RON"/>
    <n v="3182"/>
    <x v="5"/>
  </r>
  <r>
    <s v="TOTAL"/>
    <s v=" Luna mai 2020"/>
    <s v=" Lei RON"/>
    <n v="3179"/>
    <x v="5"/>
  </r>
  <r>
    <s v="TOTAL"/>
    <s v=" Luna iunie 2020"/>
    <s v=" Lei RON"/>
    <n v="3298"/>
    <x v="5"/>
  </r>
  <r>
    <s v="TOTAL"/>
    <s v=" Luna iulie 2020"/>
    <s v=" Lei RON"/>
    <n v="3372"/>
    <x v="5"/>
  </r>
  <r>
    <s v="TOTAL"/>
    <s v=" Luna august 2020"/>
    <s v=" Lei RON"/>
    <n v="3275"/>
    <x v="5"/>
  </r>
  <r>
    <s v="TOTAL"/>
    <s v=" Luna septembrie 2020"/>
    <s v=" Lei RON"/>
    <n v="3321"/>
    <x v="5"/>
  </r>
  <r>
    <s v="TOTAL"/>
    <s v=" Luna octombrie 2020"/>
    <s v=" Lei RON"/>
    <n v="3343"/>
    <x v="5"/>
  </r>
  <r>
    <s v="TOTAL"/>
    <s v=" Luna noiembrie 2020"/>
    <s v=" Lei RON"/>
    <n v="3411"/>
    <x v="5"/>
  </r>
  <r>
    <s v="TOTAL"/>
    <s v=" Luna decembrie 2020"/>
    <s v=" Lei RON"/>
    <n v="3620"/>
    <x v="5"/>
  </r>
  <r>
    <s v="TOTAL"/>
    <s v=" Luna ianuarie 2021"/>
    <s v=" Lei RON"/>
    <n v="3395"/>
    <x v="6"/>
  </r>
  <r>
    <s v="TOTAL"/>
    <s v=" Luna februarie 2021"/>
    <s v=" Lei RON"/>
    <n v="3365"/>
    <x v="6"/>
  </r>
  <r>
    <s v="TOTAL"/>
    <s v=" Luna martie 2021"/>
    <s v=" Lei RON"/>
    <n v="3547"/>
    <x v="6"/>
  </r>
  <r>
    <s v="TOTAL"/>
    <s v=" Luna aprilie 2021"/>
    <s v=" Lei RON"/>
    <n v="3561"/>
    <x v="6"/>
  </r>
  <r>
    <s v="TOTAL"/>
    <s v=" Luna mai 2021"/>
    <s v=" Lei RON"/>
    <n v="3492"/>
    <x v="6"/>
  </r>
  <r>
    <s v="TOTAL"/>
    <s v=" Luna iunie 2021"/>
    <s v=" Lei RON"/>
    <n v="3541"/>
    <x v="6"/>
  </r>
  <r>
    <s v="TOTAL"/>
    <s v=" Luna iulie 2021"/>
    <s v=" Lei RON"/>
    <n v="3545"/>
    <x v="6"/>
  </r>
  <r>
    <s v="TOTAL"/>
    <s v=" Luna august 2021"/>
    <s v=" Lei RON"/>
    <n v="3487"/>
    <x v="6"/>
  </r>
  <r>
    <s v="TOTAL"/>
    <s v=" Luna septembrie 2021"/>
    <s v=" Lei RON"/>
    <n v="3517"/>
    <x v="6"/>
  </r>
  <r>
    <s v="TOTAL"/>
    <s v=" Luna octombrie 2021"/>
    <s v=" Lei RON"/>
    <n v="3544"/>
    <x v="6"/>
  </r>
  <r>
    <s v="TOTAL"/>
    <s v=" Luna noiembrie 2021"/>
    <s v=" Lei RON"/>
    <n v="3645"/>
    <x v="6"/>
  </r>
  <r>
    <s v="TOTAL"/>
    <s v=" Luna decembrie 2021"/>
    <s v=" Lei RON"/>
    <n v="3879"/>
    <x v="6"/>
  </r>
  <r>
    <s v="TOTAL"/>
    <s v=" Luna ianuarie 2022"/>
    <s v=" Lei RON"/>
    <n v="3698"/>
    <x v="7"/>
  </r>
  <r>
    <s v="TOTAL"/>
    <s v=" Luna februarie 2022"/>
    <s v=" Lei RON"/>
    <n v="3721"/>
    <x v="7"/>
  </r>
  <r>
    <s v="TOTAL"/>
    <s v=" Luna martie 2022"/>
    <s v=" Lei RON"/>
    <n v="3937"/>
    <x v="7"/>
  </r>
  <r>
    <s v="TOTAL"/>
    <s v=" Luna aprilie 2022"/>
    <s v=" Lei RON"/>
    <n v="3967"/>
    <x v="7"/>
  </r>
  <r>
    <s v="TOTAL"/>
    <s v=" Luna mai 2022"/>
    <s v=" Lei RON"/>
    <n v="3928"/>
    <x v="7"/>
  </r>
  <r>
    <s v="TOTAL"/>
    <s v=" Luna iunie 2022"/>
    <s v=" Lei RON"/>
    <n v="3977"/>
    <x v="7"/>
  </r>
  <r>
    <s v="TOTAL"/>
    <s v=" Luna iulie 2022"/>
    <s v=" Lei RON"/>
    <n v="3975"/>
    <x v="7"/>
  </r>
  <r>
    <s v="TOTAL"/>
    <s v=" Luna august 2022"/>
    <s v=" Lei RON"/>
    <n v="3933"/>
    <x v="7"/>
  </r>
  <r>
    <s v="TOTAL"/>
    <s v=" Luna septembrie 2022"/>
    <s v=" Lei RON"/>
    <n v="4003"/>
    <x v="7"/>
  </r>
  <r>
    <s v="TOTAL"/>
    <s v=" Luna octombrie 2022"/>
    <s v=" Lei RON"/>
    <n v="4008"/>
    <x v="7"/>
  </r>
  <r>
    <s v="TOTAL"/>
    <s v=" Luna noiembrie 2022"/>
    <s v=" Lei RON"/>
    <n v="4141"/>
    <x v="7"/>
  </r>
  <r>
    <s v="TOTAL"/>
    <s v=" Luna decembrie 2022"/>
    <s v=" Lei RON"/>
    <n v="4398"/>
    <x v="7"/>
  </r>
  <r>
    <s v="TOTAL"/>
    <s v=" Luna ianuarie 2023"/>
    <s v=" Lei RON"/>
    <n v="4254"/>
    <x v="8"/>
  </r>
  <r>
    <s v="TOTAL"/>
    <s v=" Luna februarie 2023"/>
    <s v=" Lei RON"/>
    <n v="4270"/>
    <x v="8"/>
  </r>
  <r>
    <s v="TOTAL"/>
    <s v=" Luna martie 2023"/>
    <s v=" Lei RON"/>
    <n v="4554"/>
    <x v="8"/>
  </r>
  <r>
    <s v="TOTAL"/>
    <s v=" Luna aprilie 2023"/>
    <s v=" Lei RON"/>
    <n v="4564"/>
    <x v="8"/>
  </r>
  <r>
    <s v="TOTAL"/>
    <s v=" Luna mai 2023"/>
    <s v=" Lei RON"/>
    <n v="4543"/>
    <x v="8"/>
  </r>
  <r>
    <s v="TOTAL"/>
    <s v=" Luna iunie 2023"/>
    <s v=" Lei RON"/>
    <n v="4600"/>
    <x v="8"/>
  </r>
  <r>
    <s v="TOTAL"/>
    <s v=" Luna iulie 2023"/>
    <s v=" Lei RON"/>
    <n v="4565"/>
    <x v="8"/>
  </r>
  <r>
    <s v="TOTAL"/>
    <s v=" Luna august 2023"/>
    <s v=" Lei RON"/>
    <n v="4531"/>
    <x v="8"/>
  </r>
  <r>
    <s v="TOTAL"/>
    <s v=" Luna septembrie 2023"/>
    <s v=" Lei RON"/>
    <n v="4593"/>
    <x v="8"/>
  </r>
  <r>
    <s v="TOTAL"/>
    <s v=" Luna octombrie 2023"/>
    <s v=" Lei RON"/>
    <n v="4692"/>
    <x v="8"/>
  </r>
  <r>
    <s v="TOTAL"/>
    <s v=" Luna noiembrie 2023"/>
    <s v=" Lei RON"/>
    <n v="4765"/>
    <x v="8"/>
  </r>
  <r>
    <s v="TOTAL"/>
    <s v=" Luna decembrie 2023"/>
    <s v=" Lei RON"/>
    <n v="5079"/>
    <x v="8"/>
  </r>
  <r>
    <s v="TOTAL"/>
    <s v=" Luna ianuarie 2024"/>
    <s v=" Lei RON"/>
    <n v="4859"/>
    <x v="9"/>
  </r>
  <r>
    <s v="TOTAL"/>
    <s v=" Luna februarie 2024"/>
    <s v=" Lei RON"/>
    <n v="4876"/>
    <x v="9"/>
  </r>
  <r>
    <s v="TOTAL"/>
    <s v=" Luna martie 2024"/>
    <s v=" Lei RON"/>
    <n v="5185"/>
    <x v="9"/>
  </r>
  <r>
    <s v="TOTAL"/>
    <s v=" Luna aprilie 2024"/>
    <s v=" Lei RON"/>
    <n v="5217"/>
    <x v="9"/>
  </r>
  <r>
    <s v="TOTAL"/>
    <s v=" Luna mai 2024"/>
    <s v=" Lei RON"/>
    <n v="5118"/>
    <x v="9"/>
  </r>
  <r>
    <s v="TOTAL"/>
    <s v=" Luna iunie 2024"/>
    <s v=" Lei RON"/>
    <n v="5176"/>
    <x v="9"/>
  </r>
  <r>
    <s v="TOTAL"/>
    <s v=" Luna iulie 2024"/>
    <s v=" Lei RON"/>
    <n v="5242"/>
    <x v="9"/>
  </r>
  <r>
    <s v="TOTAL"/>
    <s v=" Luna august 2024"/>
    <s v=" Lei RON"/>
    <n v="5158"/>
    <x v="9"/>
  </r>
  <r>
    <s v="TOTAL"/>
    <s v=" Luna septembrie 2024"/>
    <s v=" Lei RON"/>
    <n v="5228"/>
    <x v="9"/>
  </r>
  <r>
    <s v="TOTAL"/>
    <s v=" Luna octombrie 2024"/>
    <s v=" Lei RON"/>
    <n v="5268"/>
    <x v="9"/>
  </r>
  <r>
    <s v="TOTAL"/>
    <s v=" Luna noiembrie 2024"/>
    <s v=" Lei RON"/>
    <n v="5388"/>
    <x v="9"/>
  </r>
  <r>
    <s v="TOTAL"/>
    <s v=" Luna decembrie 2024"/>
    <s v=" Lei RON"/>
    <n v="5645"/>
    <x v="9"/>
  </r>
  <r>
    <s v="TOTAL"/>
    <s v=" Luna ianuarie 2025"/>
    <s v=" Lei RON"/>
    <n v="5328"/>
    <x v="10"/>
  </r>
  <r>
    <s v="TOTAL"/>
    <s v=" Luna februarie 2025"/>
    <s v=" Lei RON"/>
    <n v="5351"/>
    <x v="10"/>
  </r>
  <r>
    <s v="TOTAL"/>
    <s v=" Luna martie 2025"/>
    <s v=" Lei RON"/>
    <n v="5691"/>
    <x v="10"/>
  </r>
  <r>
    <s v="TOTAL"/>
    <s v=" Luna aprilie 2025"/>
    <s v=" Lei RON"/>
    <n v="5647"/>
    <x v="10"/>
  </r>
  <r>
    <s v="TOTAL"/>
    <s v=" Luna mai 2025"/>
    <s v=" Lei RON"/>
    <n v="5508"/>
    <x v="10"/>
  </r>
  <r>
    <s v="TOTAL"/>
    <s v=" Luna iunie 2025"/>
    <s v=" Lei RON"/>
    <n v="5539"/>
    <x v="10"/>
  </r>
  <r>
    <s v="TOTAL"/>
    <s v=" Luna iulie 2025"/>
    <s v=" Lei RON"/>
    <n v="5517"/>
    <x v="10"/>
  </r>
  <r>
    <s v="TOTAL"/>
    <s v=" Luna august 2025"/>
    <s v=" Lei RON"/>
    <n v="5387"/>
    <x v="10"/>
  </r>
  <r>
    <s v="TOTAL"/>
    <s v=" Luna septembrie 2025"/>
    <s v=" Lei RON"/>
    <n v="5443"/>
    <x v="10"/>
  </r>
  <r>
    <s v="TOTAL"/>
    <s v=" Luna octombrie 2025"/>
    <s v=" Lei RON"/>
    <n v="5492"/>
    <x v="10"/>
  </r>
  <r>
    <s v="TOTAL"/>
    <s v=" Luna noiembrie 2025"/>
    <s v=" Lei RON"/>
    <n v="5615"/>
    <x v="10"/>
  </r>
  <r>
    <s v="TOTAL"/>
    <s v=" Luna decembrie 2025"/>
    <s v=" Lei RON"/>
    <n v="5914"/>
    <x v="10"/>
  </r>
  <r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ori" updatedVersion="7" minRefreshableVersion="3" showDrill="0" useAutoFormatting="1" rowGrandTotals="0" colGrandTotals="0" itemPrintTitles="1" createdVersion="7" indent="0" outline="1" outlineData="1" multipleFieldFilters="0" chartFormat="6" rowHeaderCaption="An">
  <location ref="A3:B14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alariu mediu net (lei)" fld="3" subtotal="average" baseField="4" baseItem="0" numFmtId="166"/>
  </dataFields>
  <formats count="7">
    <format dxfId="24">
      <pivotArea outline="0" collapsedLevelsAreSubtotals="1" fieldPosition="0"/>
    </format>
    <format dxfId="23">
      <pivotArea field="4" type="button" dataOnly="0" labelOnly="1" outline="0" axis="axisRow" fieldPosition="0"/>
    </format>
    <format dxfId="22">
      <pivotArea dataOnly="0" labelOnly="1" outline="0" axis="axisValues" fieldPosition="0"/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n" xr10:uid="{728177D0-8130-48D9-8B0D-699150798052}" sourceName="An">
  <pivotTables>
    <pivotTable tabId="2" name="PivotTable1"/>
  </pivotTables>
  <data>
    <tabular pivotCacheId="1078393477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" xr10:uid="{313B2C08-E9B7-449D-ABFD-FFD19FCD9925}" cache="Slicer_An" caption="An" style="SlicerStyleDark5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 1" xr10:uid="{C3E374C1-567C-40C1-91D7-D8D091AD1DC7}" cache="Slicer_An" caption="An" style="SlicerStyleDark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E6723-DE60-493F-BF32-2F648060424B}" name="Tabel1" displayName="Tabel1" ref="A3:G14" totalsRowShown="0" headerRowDxfId="8" dataDxfId="7">
  <autoFilter ref="A3:G14" xr:uid="{0ACE6723-DE60-493F-BF32-2F648060424B}"/>
  <tableColumns count="7">
    <tableColumn id="1" xr3:uid="{D7E9AA5F-C04B-41DB-86AF-A9E627895FA9}" name="An" dataDxfId="6"/>
    <tableColumn id="2" xr3:uid="{9A60B11C-CEBE-459A-B611-104A318B4B92}" name="Rata somajului %" dataDxfId="5"/>
    <tableColumn id="3" xr3:uid="{3BD77B19-D301-499D-948C-3EB418A6CD44}" name="Diferenta fata de anul precedent" dataDxfId="4">
      <calculatedColumnFormula>B4-B3</calculatedColumnFormula>
    </tableColumn>
    <tableColumn id="4" xr3:uid="{02B5DB0A-9201-40E9-BB3E-18B5AE6E505F}" name="Media perioadei" dataDxfId="3" dataCellStyle="Virgulă">
      <calculatedColumnFormula>AVERAGE($B$4:$B$14)</calculatedColumnFormula>
    </tableColumn>
    <tableColumn id="5" xr3:uid="{0E028C4E-C74D-4E37-8E1C-902676C64587}" name="Abatere fata de medie" dataDxfId="2">
      <calculatedColumnFormula>ABS(B4-D4)</calculatedColumnFormula>
    </tableColumn>
    <tableColumn id="6" xr3:uid="{F060B0B0-DB97-45FF-94CF-1AED0794F7DA}" name="Pozitie" dataDxfId="1">
      <calculatedColumnFormula>IF(B4&gt;D4, "Peste medie", IF(B4&lt;D4, "Sub medie", "La medie"))</calculatedColumnFormula>
    </tableColumn>
    <tableColumn id="7" xr3:uid="{6486FA17-3A11-47D0-B955-C0A6014406F0}" name="Trend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4"/>
  <sheetViews>
    <sheetView showGridLines="0" topLeftCell="G1" zoomScale="90" zoomScaleNormal="90" workbookViewId="0">
      <selection activeCell="H140" sqref="H140"/>
    </sheetView>
  </sheetViews>
  <sheetFormatPr defaultRowHeight="14.4" x14ac:dyDescent="0.3"/>
  <cols>
    <col min="1" max="1" width="9.33203125" bestFit="1" customWidth="1"/>
    <col min="2" max="2" width="21.109375" bestFit="1" customWidth="1"/>
    <col min="3" max="3" width="10" bestFit="1" customWidth="1"/>
    <col min="4" max="4" width="10" style="5" bestFit="1" customWidth="1"/>
    <col min="5" max="5" width="5.5546875" bestFit="1" customWidth="1"/>
    <col min="6" max="6" width="39.44140625" style="4" bestFit="1" customWidth="1"/>
    <col min="7" max="7" width="16" style="5" bestFit="1" customWidth="1"/>
    <col min="8" max="8" width="33.44140625" bestFit="1" customWidth="1"/>
    <col min="9" max="9" width="22.33203125" style="5" bestFit="1" customWidth="1"/>
    <col min="10" max="10" width="22.77734375" style="5" bestFit="1" customWidth="1"/>
    <col min="11" max="11" width="27.109375" style="11" bestFit="1" customWidth="1"/>
    <col min="12" max="12" width="29.6640625" style="11" bestFit="1" customWidth="1"/>
    <col min="13" max="13" width="15.77734375" bestFit="1" customWidth="1"/>
    <col min="14" max="14" width="31.88671875" bestFit="1" customWidth="1"/>
  </cols>
  <sheetData>
    <row r="1" spans="1:15" ht="25.05" customHeight="1" x14ac:dyDescent="0.45">
      <c r="A1" s="61" t="s">
        <v>186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25.05" customHeight="1" x14ac:dyDescent="0.35">
      <c r="A2" s="18" t="s">
        <v>134</v>
      </c>
      <c r="B2" s="18" t="s">
        <v>135</v>
      </c>
      <c r="C2" s="18" t="s">
        <v>136</v>
      </c>
      <c r="D2" s="22" t="s">
        <v>137</v>
      </c>
      <c r="E2" s="18" t="s">
        <v>138</v>
      </c>
      <c r="F2" s="19" t="s">
        <v>151</v>
      </c>
      <c r="G2" s="22" t="s">
        <v>150</v>
      </c>
      <c r="H2" s="18" t="s">
        <v>152</v>
      </c>
      <c r="I2" s="22" t="s">
        <v>153</v>
      </c>
      <c r="J2" s="22" t="s">
        <v>154</v>
      </c>
      <c r="K2" s="24" t="s">
        <v>155</v>
      </c>
      <c r="L2" s="24" t="s">
        <v>156</v>
      </c>
      <c r="M2" s="18" t="s">
        <v>157</v>
      </c>
      <c r="N2" s="18" t="s">
        <v>158</v>
      </c>
    </row>
    <row r="3" spans="1:15" x14ac:dyDescent="0.3">
      <c r="A3" s="20" t="s">
        <v>0</v>
      </c>
      <c r="B3" s="20" t="s">
        <v>1</v>
      </c>
      <c r="C3" s="20" t="s">
        <v>2</v>
      </c>
      <c r="D3" s="23">
        <v>1740</v>
      </c>
      <c r="E3" s="20" t="str">
        <f>RIGHT(B3,4)</f>
        <v>2015</v>
      </c>
      <c r="F3" s="21"/>
      <c r="G3" s="23">
        <f t="shared" ref="G3:G34" si="0">SUMIF($E:$E,E3,$D:$D)/COUNTIF($E:$E,E3)</f>
        <v>1848.25</v>
      </c>
      <c r="H3" s="20">
        <f>D3-G3</f>
        <v>-108.25</v>
      </c>
      <c r="I3" s="23">
        <f t="shared" ref="I3:I34" si="1">_xlfn.MINIFS($D:$D, $E:$E,E3)</f>
        <v>1731</v>
      </c>
      <c r="J3" s="23">
        <f t="shared" ref="J3:J34" si="2">_xlfn.MAXIFS($D:$D,$E:$E,E3)</f>
        <v>2114</v>
      </c>
      <c r="K3" s="25">
        <f>D3-I3</f>
        <v>9</v>
      </c>
      <c r="L3" s="25">
        <f>D3-J3</f>
        <v>-374</v>
      </c>
      <c r="M3" s="20">
        <f t="shared" ref="M3:M34" si="3">D3/$D$3*100</f>
        <v>100</v>
      </c>
      <c r="N3" s="20" t="str">
        <f>IF(D3&gt;G3, "Peste medie", IF(D3&lt;G3, "Sub medie", "La medie"))</f>
        <v>Sub medie</v>
      </c>
    </row>
    <row r="4" spans="1:15" x14ac:dyDescent="0.3">
      <c r="A4" s="20" t="s">
        <v>0</v>
      </c>
      <c r="B4" s="20" t="s">
        <v>3</v>
      </c>
      <c r="C4" s="20" t="s">
        <v>2</v>
      </c>
      <c r="D4" s="23">
        <v>1731</v>
      </c>
      <c r="E4" s="20" t="str">
        <f t="shared" ref="E4:E67" si="4">RIGHT(B4,4)</f>
        <v>2015</v>
      </c>
      <c r="F4" s="21">
        <f>(D4-D3)/D3</f>
        <v>-5.1724137931034482E-3</v>
      </c>
      <c r="G4" s="23">
        <f t="shared" si="0"/>
        <v>1848.25</v>
      </c>
      <c r="H4" s="20">
        <f t="shared" ref="H4:H67" si="5">D4-G4</f>
        <v>-117.25</v>
      </c>
      <c r="I4" s="23">
        <f t="shared" si="1"/>
        <v>1731</v>
      </c>
      <c r="J4" s="23">
        <f t="shared" si="2"/>
        <v>2114</v>
      </c>
      <c r="K4" s="25">
        <f t="shared" ref="K4:K67" si="6">D4-I4</f>
        <v>0</v>
      </c>
      <c r="L4" s="25">
        <f t="shared" ref="L4:L67" si="7">D4-J4</f>
        <v>-383</v>
      </c>
      <c r="M4" s="20">
        <f t="shared" si="3"/>
        <v>99.482758620689665</v>
      </c>
      <c r="N4" s="20" t="str">
        <f t="shared" ref="N4:N67" si="8">IF(D4&gt;G4, "Peste medie", IF(D4&lt;G4, "Sub medie", "La medie"))</f>
        <v>Sub medie</v>
      </c>
    </row>
    <row r="5" spans="1:15" x14ac:dyDescent="0.3">
      <c r="A5" s="20" t="s">
        <v>0</v>
      </c>
      <c r="B5" s="20" t="s">
        <v>4</v>
      </c>
      <c r="C5" s="20" t="s">
        <v>2</v>
      </c>
      <c r="D5" s="23">
        <v>1829</v>
      </c>
      <c r="E5" s="20" t="str">
        <f t="shared" si="4"/>
        <v>2015</v>
      </c>
      <c r="F5" s="21">
        <f t="shared" ref="F5:F68" si="9">(D5-D4)/D4</f>
        <v>5.6614673599075682E-2</v>
      </c>
      <c r="G5" s="23">
        <f t="shared" si="0"/>
        <v>1848.25</v>
      </c>
      <c r="H5" s="20">
        <f t="shared" si="5"/>
        <v>-19.25</v>
      </c>
      <c r="I5" s="23">
        <f t="shared" si="1"/>
        <v>1731</v>
      </c>
      <c r="J5" s="23">
        <f t="shared" si="2"/>
        <v>2114</v>
      </c>
      <c r="K5" s="25">
        <f t="shared" si="6"/>
        <v>98</v>
      </c>
      <c r="L5" s="25">
        <f t="shared" si="7"/>
        <v>-285</v>
      </c>
      <c r="M5" s="20">
        <f t="shared" si="3"/>
        <v>105.11494252873564</v>
      </c>
      <c r="N5" s="20" t="str">
        <f t="shared" si="8"/>
        <v>Sub medie</v>
      </c>
    </row>
    <row r="6" spans="1:15" x14ac:dyDescent="0.3">
      <c r="A6" s="20" t="s">
        <v>0</v>
      </c>
      <c r="B6" s="20" t="s">
        <v>5</v>
      </c>
      <c r="C6" s="20" t="s">
        <v>2</v>
      </c>
      <c r="D6" s="23">
        <v>1857</v>
      </c>
      <c r="E6" s="20" t="str">
        <f t="shared" si="4"/>
        <v>2015</v>
      </c>
      <c r="F6" s="21">
        <f t="shared" si="9"/>
        <v>1.530891197375615E-2</v>
      </c>
      <c r="G6" s="23">
        <f t="shared" si="0"/>
        <v>1848.25</v>
      </c>
      <c r="H6" s="20">
        <f t="shared" si="5"/>
        <v>8.75</v>
      </c>
      <c r="I6" s="23">
        <f t="shared" si="1"/>
        <v>1731</v>
      </c>
      <c r="J6" s="23">
        <f t="shared" si="2"/>
        <v>2114</v>
      </c>
      <c r="K6" s="25">
        <f t="shared" si="6"/>
        <v>126</v>
      </c>
      <c r="L6" s="25">
        <f t="shared" si="7"/>
        <v>-257</v>
      </c>
      <c r="M6" s="20">
        <f t="shared" si="3"/>
        <v>106.72413793103448</v>
      </c>
      <c r="N6" s="20" t="str">
        <f t="shared" si="8"/>
        <v>Peste medie</v>
      </c>
    </row>
    <row r="7" spans="1:15" x14ac:dyDescent="0.3">
      <c r="A7" s="20" t="s">
        <v>0</v>
      </c>
      <c r="B7" s="20" t="s">
        <v>6</v>
      </c>
      <c r="C7" s="20" t="s">
        <v>2</v>
      </c>
      <c r="D7" s="23">
        <v>1806</v>
      </c>
      <c r="E7" s="20" t="str">
        <f t="shared" si="4"/>
        <v>2015</v>
      </c>
      <c r="F7" s="21">
        <f t="shared" si="9"/>
        <v>-2.7463651050080775E-2</v>
      </c>
      <c r="G7" s="23">
        <f t="shared" si="0"/>
        <v>1848.25</v>
      </c>
      <c r="H7" s="20">
        <f t="shared" si="5"/>
        <v>-42.25</v>
      </c>
      <c r="I7" s="23">
        <f t="shared" si="1"/>
        <v>1731</v>
      </c>
      <c r="J7" s="23">
        <f t="shared" si="2"/>
        <v>2114</v>
      </c>
      <c r="K7" s="25">
        <f t="shared" si="6"/>
        <v>75</v>
      </c>
      <c r="L7" s="25">
        <f t="shared" si="7"/>
        <v>-308</v>
      </c>
      <c r="M7" s="20">
        <f t="shared" si="3"/>
        <v>103.79310344827586</v>
      </c>
      <c r="N7" s="20" t="str">
        <f t="shared" si="8"/>
        <v>Sub medie</v>
      </c>
    </row>
    <row r="8" spans="1:15" x14ac:dyDescent="0.3">
      <c r="A8" s="20" t="s">
        <v>0</v>
      </c>
      <c r="B8" s="20" t="s">
        <v>7</v>
      </c>
      <c r="C8" s="20" t="s">
        <v>2</v>
      </c>
      <c r="D8" s="23">
        <v>1818</v>
      </c>
      <c r="E8" s="20" t="str">
        <f t="shared" si="4"/>
        <v>2015</v>
      </c>
      <c r="F8" s="21">
        <f t="shared" si="9"/>
        <v>6.6445182724252493E-3</v>
      </c>
      <c r="G8" s="23">
        <f t="shared" si="0"/>
        <v>1848.25</v>
      </c>
      <c r="H8" s="20">
        <f t="shared" si="5"/>
        <v>-30.25</v>
      </c>
      <c r="I8" s="23">
        <f t="shared" si="1"/>
        <v>1731</v>
      </c>
      <c r="J8" s="23">
        <f t="shared" si="2"/>
        <v>2114</v>
      </c>
      <c r="K8" s="25">
        <f t="shared" si="6"/>
        <v>87</v>
      </c>
      <c r="L8" s="25">
        <f t="shared" si="7"/>
        <v>-296</v>
      </c>
      <c r="M8" s="20">
        <f t="shared" si="3"/>
        <v>104.48275862068965</v>
      </c>
      <c r="N8" s="20" t="str">
        <f t="shared" si="8"/>
        <v>Sub medie</v>
      </c>
    </row>
    <row r="9" spans="1:15" x14ac:dyDescent="0.3">
      <c r="A9" s="20" t="s">
        <v>0</v>
      </c>
      <c r="B9" s="20" t="s">
        <v>8</v>
      </c>
      <c r="C9" s="20" t="s">
        <v>2</v>
      </c>
      <c r="D9" s="23">
        <v>1849</v>
      </c>
      <c r="E9" s="20" t="str">
        <f t="shared" si="4"/>
        <v>2015</v>
      </c>
      <c r="F9" s="21">
        <f t="shared" si="9"/>
        <v>1.7051705170517052E-2</v>
      </c>
      <c r="G9" s="23">
        <f t="shared" si="0"/>
        <v>1848.25</v>
      </c>
      <c r="H9" s="20">
        <f t="shared" si="5"/>
        <v>0.75</v>
      </c>
      <c r="I9" s="23">
        <f t="shared" si="1"/>
        <v>1731</v>
      </c>
      <c r="J9" s="23">
        <f t="shared" si="2"/>
        <v>2114</v>
      </c>
      <c r="K9" s="25">
        <f t="shared" si="6"/>
        <v>118</v>
      </c>
      <c r="L9" s="25">
        <f t="shared" si="7"/>
        <v>-265</v>
      </c>
      <c r="M9" s="20">
        <f t="shared" si="3"/>
        <v>106.26436781609196</v>
      </c>
      <c r="N9" s="20" t="str">
        <f t="shared" si="8"/>
        <v>Peste medie</v>
      </c>
    </row>
    <row r="10" spans="1:15" x14ac:dyDescent="0.3">
      <c r="A10" s="20" t="s">
        <v>0</v>
      </c>
      <c r="B10" s="20" t="s">
        <v>9</v>
      </c>
      <c r="C10" s="20" t="s">
        <v>2</v>
      </c>
      <c r="D10" s="23">
        <v>1813</v>
      </c>
      <c r="E10" s="20" t="str">
        <f t="shared" si="4"/>
        <v>2015</v>
      </c>
      <c r="F10" s="21">
        <f t="shared" si="9"/>
        <v>-1.9469983775013522E-2</v>
      </c>
      <c r="G10" s="23">
        <f t="shared" si="0"/>
        <v>1848.25</v>
      </c>
      <c r="H10" s="20">
        <f t="shared" si="5"/>
        <v>-35.25</v>
      </c>
      <c r="I10" s="23">
        <f t="shared" si="1"/>
        <v>1731</v>
      </c>
      <c r="J10" s="23">
        <f t="shared" si="2"/>
        <v>2114</v>
      </c>
      <c r="K10" s="25">
        <f t="shared" si="6"/>
        <v>82</v>
      </c>
      <c r="L10" s="25">
        <f t="shared" si="7"/>
        <v>-301</v>
      </c>
      <c r="M10" s="20">
        <f t="shared" si="3"/>
        <v>104.19540229885058</v>
      </c>
      <c r="N10" s="20" t="str">
        <f t="shared" si="8"/>
        <v>Sub medie</v>
      </c>
    </row>
    <row r="11" spans="1:15" x14ac:dyDescent="0.3">
      <c r="A11" s="20" t="s">
        <v>0</v>
      </c>
      <c r="B11" s="20" t="s">
        <v>10</v>
      </c>
      <c r="C11" s="20" t="s">
        <v>2</v>
      </c>
      <c r="D11" s="23">
        <v>1833</v>
      </c>
      <c r="E11" s="20" t="str">
        <f t="shared" si="4"/>
        <v>2015</v>
      </c>
      <c r="F11" s="21">
        <f t="shared" si="9"/>
        <v>1.1031439602868174E-2</v>
      </c>
      <c r="G11" s="23">
        <f t="shared" si="0"/>
        <v>1848.25</v>
      </c>
      <c r="H11" s="20">
        <f t="shared" si="5"/>
        <v>-15.25</v>
      </c>
      <c r="I11" s="23">
        <f t="shared" si="1"/>
        <v>1731</v>
      </c>
      <c r="J11" s="23">
        <f t="shared" si="2"/>
        <v>2114</v>
      </c>
      <c r="K11" s="25">
        <f t="shared" si="6"/>
        <v>102</v>
      </c>
      <c r="L11" s="25">
        <f t="shared" si="7"/>
        <v>-281</v>
      </c>
      <c r="M11" s="20">
        <f t="shared" si="3"/>
        <v>105.34482758620689</v>
      </c>
      <c r="N11" s="20" t="str">
        <f t="shared" si="8"/>
        <v>Sub medie</v>
      </c>
    </row>
    <row r="12" spans="1:15" x14ac:dyDescent="0.3">
      <c r="A12" s="20" t="s">
        <v>0</v>
      </c>
      <c r="B12" s="20" t="s">
        <v>11</v>
      </c>
      <c r="C12" s="20" t="s">
        <v>2</v>
      </c>
      <c r="D12" s="23">
        <v>1871</v>
      </c>
      <c r="E12" s="20" t="str">
        <f t="shared" si="4"/>
        <v>2015</v>
      </c>
      <c r="F12" s="21">
        <f t="shared" si="9"/>
        <v>2.0731042007637753E-2</v>
      </c>
      <c r="G12" s="23">
        <f t="shared" si="0"/>
        <v>1848.25</v>
      </c>
      <c r="H12" s="20">
        <f t="shared" si="5"/>
        <v>22.75</v>
      </c>
      <c r="I12" s="23">
        <f t="shared" si="1"/>
        <v>1731</v>
      </c>
      <c r="J12" s="23">
        <f t="shared" si="2"/>
        <v>2114</v>
      </c>
      <c r="K12" s="25">
        <f t="shared" si="6"/>
        <v>140</v>
      </c>
      <c r="L12" s="25">
        <f t="shared" si="7"/>
        <v>-243</v>
      </c>
      <c r="M12" s="20">
        <f t="shared" si="3"/>
        <v>107.5287356321839</v>
      </c>
      <c r="N12" s="20" t="str">
        <f t="shared" si="8"/>
        <v>Peste medie</v>
      </c>
    </row>
    <row r="13" spans="1:15" x14ac:dyDescent="0.3">
      <c r="A13" s="20" t="s">
        <v>0</v>
      </c>
      <c r="B13" s="20" t="s">
        <v>12</v>
      </c>
      <c r="C13" s="20" t="s">
        <v>2</v>
      </c>
      <c r="D13" s="23">
        <v>1918</v>
      </c>
      <c r="E13" s="20" t="str">
        <f t="shared" si="4"/>
        <v>2015</v>
      </c>
      <c r="F13" s="21">
        <f t="shared" si="9"/>
        <v>2.512025654730091E-2</v>
      </c>
      <c r="G13" s="23">
        <f t="shared" si="0"/>
        <v>1848.25</v>
      </c>
      <c r="H13" s="20">
        <f t="shared" si="5"/>
        <v>69.75</v>
      </c>
      <c r="I13" s="23">
        <f t="shared" si="1"/>
        <v>1731</v>
      </c>
      <c r="J13" s="23">
        <f t="shared" si="2"/>
        <v>2114</v>
      </c>
      <c r="K13" s="25">
        <f t="shared" si="6"/>
        <v>187</v>
      </c>
      <c r="L13" s="25">
        <f t="shared" si="7"/>
        <v>-196</v>
      </c>
      <c r="M13" s="20">
        <f t="shared" si="3"/>
        <v>110.22988505747126</v>
      </c>
      <c r="N13" s="20" t="str">
        <f t="shared" si="8"/>
        <v>Peste medie</v>
      </c>
    </row>
    <row r="14" spans="1:15" x14ac:dyDescent="0.3">
      <c r="A14" s="20" t="s">
        <v>0</v>
      </c>
      <c r="B14" s="20" t="s">
        <v>13</v>
      </c>
      <c r="C14" s="20" t="s">
        <v>2</v>
      </c>
      <c r="D14" s="23">
        <v>2114</v>
      </c>
      <c r="E14" s="20" t="str">
        <f t="shared" si="4"/>
        <v>2015</v>
      </c>
      <c r="F14" s="21">
        <f t="shared" si="9"/>
        <v>0.10218978102189781</v>
      </c>
      <c r="G14" s="23">
        <f t="shared" si="0"/>
        <v>1848.25</v>
      </c>
      <c r="H14" s="20">
        <f t="shared" si="5"/>
        <v>265.75</v>
      </c>
      <c r="I14" s="23">
        <f t="shared" si="1"/>
        <v>1731</v>
      </c>
      <c r="J14" s="23">
        <f t="shared" si="2"/>
        <v>2114</v>
      </c>
      <c r="K14" s="25">
        <f t="shared" si="6"/>
        <v>383</v>
      </c>
      <c r="L14" s="25">
        <f t="shared" si="7"/>
        <v>0</v>
      </c>
      <c r="M14" s="20">
        <f t="shared" si="3"/>
        <v>121.49425287356321</v>
      </c>
      <c r="N14" s="20" t="str">
        <f t="shared" si="8"/>
        <v>Peste medie</v>
      </c>
    </row>
    <row r="15" spans="1:15" x14ac:dyDescent="0.3">
      <c r="A15" s="20" t="s">
        <v>0</v>
      </c>
      <c r="B15" s="20" t="s">
        <v>14</v>
      </c>
      <c r="C15" s="20" t="s">
        <v>2</v>
      </c>
      <c r="D15" s="23">
        <v>1943</v>
      </c>
      <c r="E15" s="20" t="str">
        <f t="shared" si="4"/>
        <v>2016</v>
      </c>
      <c r="F15" s="21">
        <f t="shared" si="9"/>
        <v>-8.0889309366130563E-2</v>
      </c>
      <c r="G15" s="23">
        <f t="shared" si="0"/>
        <v>2087.75</v>
      </c>
      <c r="H15" s="20">
        <f t="shared" si="5"/>
        <v>-144.75</v>
      </c>
      <c r="I15" s="23">
        <f t="shared" si="1"/>
        <v>1943</v>
      </c>
      <c r="J15" s="23">
        <f t="shared" si="2"/>
        <v>2354</v>
      </c>
      <c r="K15" s="25">
        <f t="shared" si="6"/>
        <v>0</v>
      </c>
      <c r="L15" s="25">
        <f t="shared" si="7"/>
        <v>-411</v>
      </c>
      <c r="M15" s="20">
        <f t="shared" si="3"/>
        <v>111.66666666666667</v>
      </c>
      <c r="N15" s="20" t="str">
        <f t="shared" si="8"/>
        <v>Sub medie</v>
      </c>
    </row>
    <row r="16" spans="1:15" x14ac:dyDescent="0.3">
      <c r="A16" s="20" t="s">
        <v>0</v>
      </c>
      <c r="B16" s="20" t="s">
        <v>15</v>
      </c>
      <c r="C16" s="20" t="s">
        <v>2</v>
      </c>
      <c r="D16" s="23">
        <v>1950</v>
      </c>
      <c r="E16" s="20" t="str">
        <f t="shared" si="4"/>
        <v>2016</v>
      </c>
      <c r="F16" s="21">
        <f t="shared" si="9"/>
        <v>3.602676273803397E-3</v>
      </c>
      <c r="G16" s="23">
        <f t="shared" si="0"/>
        <v>2087.75</v>
      </c>
      <c r="H16" s="20">
        <f t="shared" si="5"/>
        <v>-137.75</v>
      </c>
      <c r="I16" s="23">
        <f t="shared" si="1"/>
        <v>1943</v>
      </c>
      <c r="J16" s="23">
        <f t="shared" si="2"/>
        <v>2354</v>
      </c>
      <c r="K16" s="25">
        <f t="shared" si="6"/>
        <v>7</v>
      </c>
      <c r="L16" s="25">
        <f t="shared" si="7"/>
        <v>-404</v>
      </c>
      <c r="M16" s="20">
        <f t="shared" si="3"/>
        <v>112.06896551724137</v>
      </c>
      <c r="N16" s="20" t="str">
        <f t="shared" si="8"/>
        <v>Sub medie</v>
      </c>
    </row>
    <row r="17" spans="1:14" x14ac:dyDescent="0.3">
      <c r="A17" s="20" t="s">
        <v>0</v>
      </c>
      <c r="B17" s="20" t="s">
        <v>16</v>
      </c>
      <c r="C17" s="20" t="s">
        <v>2</v>
      </c>
      <c r="D17" s="23">
        <v>2051</v>
      </c>
      <c r="E17" s="20" t="str">
        <f t="shared" si="4"/>
        <v>2016</v>
      </c>
      <c r="F17" s="21">
        <f t="shared" si="9"/>
        <v>5.1794871794871793E-2</v>
      </c>
      <c r="G17" s="23">
        <f t="shared" si="0"/>
        <v>2087.75</v>
      </c>
      <c r="H17" s="20">
        <f t="shared" si="5"/>
        <v>-36.75</v>
      </c>
      <c r="I17" s="23">
        <f t="shared" si="1"/>
        <v>1943</v>
      </c>
      <c r="J17" s="23">
        <f t="shared" si="2"/>
        <v>2354</v>
      </c>
      <c r="K17" s="25">
        <f t="shared" si="6"/>
        <v>108</v>
      </c>
      <c r="L17" s="25">
        <f t="shared" si="7"/>
        <v>-303</v>
      </c>
      <c r="M17" s="20">
        <f t="shared" si="3"/>
        <v>117.8735632183908</v>
      </c>
      <c r="N17" s="20" t="str">
        <f t="shared" si="8"/>
        <v>Sub medie</v>
      </c>
    </row>
    <row r="18" spans="1:14" x14ac:dyDescent="0.3">
      <c r="A18" s="20" t="s">
        <v>0</v>
      </c>
      <c r="B18" s="20" t="s">
        <v>17</v>
      </c>
      <c r="C18" s="20" t="s">
        <v>2</v>
      </c>
      <c r="D18" s="23">
        <v>2086</v>
      </c>
      <c r="E18" s="20" t="str">
        <f t="shared" si="4"/>
        <v>2016</v>
      </c>
      <c r="F18" s="21">
        <f t="shared" si="9"/>
        <v>1.7064846416382253E-2</v>
      </c>
      <c r="G18" s="23">
        <f t="shared" si="0"/>
        <v>2087.75</v>
      </c>
      <c r="H18" s="20">
        <f t="shared" si="5"/>
        <v>-1.75</v>
      </c>
      <c r="I18" s="23">
        <f t="shared" si="1"/>
        <v>1943</v>
      </c>
      <c r="J18" s="23">
        <f t="shared" si="2"/>
        <v>2354</v>
      </c>
      <c r="K18" s="25">
        <f t="shared" si="6"/>
        <v>143</v>
      </c>
      <c r="L18" s="25">
        <f t="shared" si="7"/>
        <v>-268</v>
      </c>
      <c r="M18" s="20">
        <f t="shared" si="3"/>
        <v>119.88505747126436</v>
      </c>
      <c r="N18" s="20" t="str">
        <f t="shared" si="8"/>
        <v>Sub medie</v>
      </c>
    </row>
    <row r="19" spans="1:14" x14ac:dyDescent="0.3">
      <c r="A19" s="20" t="s">
        <v>0</v>
      </c>
      <c r="B19" s="20" t="s">
        <v>18</v>
      </c>
      <c r="C19" s="20" t="s">
        <v>2</v>
      </c>
      <c r="D19" s="23">
        <v>2063</v>
      </c>
      <c r="E19" s="20" t="str">
        <f t="shared" si="4"/>
        <v>2016</v>
      </c>
      <c r="F19" s="21">
        <f t="shared" si="9"/>
        <v>-1.1025886864813039E-2</v>
      </c>
      <c r="G19" s="23">
        <f t="shared" si="0"/>
        <v>2087.75</v>
      </c>
      <c r="H19" s="20">
        <f t="shared" si="5"/>
        <v>-24.75</v>
      </c>
      <c r="I19" s="23">
        <f t="shared" si="1"/>
        <v>1943</v>
      </c>
      <c r="J19" s="23">
        <f t="shared" si="2"/>
        <v>2354</v>
      </c>
      <c r="K19" s="25">
        <f t="shared" si="6"/>
        <v>120</v>
      </c>
      <c r="L19" s="25">
        <f t="shared" si="7"/>
        <v>-291</v>
      </c>
      <c r="M19" s="20">
        <f t="shared" si="3"/>
        <v>118.56321839080459</v>
      </c>
      <c r="N19" s="20" t="str">
        <f t="shared" si="8"/>
        <v>Sub medie</v>
      </c>
    </row>
    <row r="20" spans="1:14" x14ac:dyDescent="0.3">
      <c r="A20" s="20" t="s">
        <v>0</v>
      </c>
      <c r="B20" s="20" t="s">
        <v>19</v>
      </c>
      <c r="C20" s="20" t="s">
        <v>2</v>
      </c>
      <c r="D20" s="23">
        <v>2078</v>
      </c>
      <c r="E20" s="20" t="str">
        <f t="shared" si="4"/>
        <v>2016</v>
      </c>
      <c r="F20" s="21">
        <f t="shared" si="9"/>
        <v>7.2709646146388758E-3</v>
      </c>
      <c r="G20" s="23">
        <f t="shared" si="0"/>
        <v>2087.75</v>
      </c>
      <c r="H20" s="20">
        <f t="shared" si="5"/>
        <v>-9.75</v>
      </c>
      <c r="I20" s="23">
        <f t="shared" si="1"/>
        <v>1943</v>
      </c>
      <c r="J20" s="23">
        <f t="shared" si="2"/>
        <v>2354</v>
      </c>
      <c r="K20" s="25">
        <f t="shared" si="6"/>
        <v>135</v>
      </c>
      <c r="L20" s="25">
        <f t="shared" si="7"/>
        <v>-276</v>
      </c>
      <c r="M20" s="20">
        <f t="shared" si="3"/>
        <v>119.42528735632183</v>
      </c>
      <c r="N20" s="20" t="str">
        <f t="shared" si="8"/>
        <v>Sub medie</v>
      </c>
    </row>
    <row r="21" spans="1:14" x14ac:dyDescent="0.3">
      <c r="A21" s="20" t="s">
        <v>0</v>
      </c>
      <c r="B21" s="20" t="s">
        <v>20</v>
      </c>
      <c r="C21" s="20" t="s">
        <v>2</v>
      </c>
      <c r="D21" s="23">
        <v>2078</v>
      </c>
      <c r="E21" s="20" t="str">
        <f t="shared" si="4"/>
        <v>2016</v>
      </c>
      <c r="F21" s="21">
        <f t="shared" si="9"/>
        <v>0</v>
      </c>
      <c r="G21" s="23">
        <f t="shared" si="0"/>
        <v>2087.75</v>
      </c>
      <c r="H21" s="20">
        <f t="shared" si="5"/>
        <v>-9.75</v>
      </c>
      <c r="I21" s="23">
        <f t="shared" si="1"/>
        <v>1943</v>
      </c>
      <c r="J21" s="23">
        <f t="shared" si="2"/>
        <v>2354</v>
      </c>
      <c r="K21" s="25">
        <f t="shared" si="6"/>
        <v>135</v>
      </c>
      <c r="L21" s="25">
        <f t="shared" si="7"/>
        <v>-276</v>
      </c>
      <c r="M21" s="20">
        <f t="shared" si="3"/>
        <v>119.42528735632183</v>
      </c>
      <c r="N21" s="20" t="str">
        <f t="shared" si="8"/>
        <v>Sub medie</v>
      </c>
    </row>
    <row r="22" spans="1:14" x14ac:dyDescent="0.3">
      <c r="A22" s="20" t="s">
        <v>0</v>
      </c>
      <c r="B22" s="20" t="s">
        <v>21</v>
      </c>
      <c r="C22" s="20" t="s">
        <v>2</v>
      </c>
      <c r="D22" s="23">
        <v>2076</v>
      </c>
      <c r="E22" s="20" t="str">
        <f t="shared" si="4"/>
        <v>2016</v>
      </c>
      <c r="F22" s="21">
        <f t="shared" si="9"/>
        <v>-9.6246390760346492E-4</v>
      </c>
      <c r="G22" s="23">
        <f t="shared" si="0"/>
        <v>2087.75</v>
      </c>
      <c r="H22" s="20">
        <f t="shared" si="5"/>
        <v>-11.75</v>
      </c>
      <c r="I22" s="23">
        <f t="shared" si="1"/>
        <v>1943</v>
      </c>
      <c r="J22" s="23">
        <f t="shared" si="2"/>
        <v>2354</v>
      </c>
      <c r="K22" s="25">
        <f t="shared" si="6"/>
        <v>133</v>
      </c>
      <c r="L22" s="25">
        <f t="shared" si="7"/>
        <v>-278</v>
      </c>
      <c r="M22" s="20">
        <f t="shared" si="3"/>
        <v>119.31034482758621</v>
      </c>
      <c r="N22" s="20" t="str">
        <f t="shared" si="8"/>
        <v>Sub medie</v>
      </c>
    </row>
    <row r="23" spans="1:14" x14ac:dyDescent="0.3">
      <c r="A23" s="20" t="s">
        <v>0</v>
      </c>
      <c r="B23" s="20" t="s">
        <v>22</v>
      </c>
      <c r="C23" s="20" t="s">
        <v>2</v>
      </c>
      <c r="D23" s="23">
        <v>2094</v>
      </c>
      <c r="E23" s="20" t="str">
        <f t="shared" si="4"/>
        <v>2016</v>
      </c>
      <c r="F23" s="21">
        <f t="shared" si="9"/>
        <v>8.670520231213872E-3</v>
      </c>
      <c r="G23" s="23">
        <f t="shared" si="0"/>
        <v>2087.75</v>
      </c>
      <c r="H23" s="20">
        <f t="shared" si="5"/>
        <v>6.25</v>
      </c>
      <c r="I23" s="23">
        <f t="shared" si="1"/>
        <v>1943</v>
      </c>
      <c r="J23" s="23">
        <f t="shared" si="2"/>
        <v>2354</v>
      </c>
      <c r="K23" s="25">
        <f t="shared" si="6"/>
        <v>151</v>
      </c>
      <c r="L23" s="25">
        <f t="shared" si="7"/>
        <v>-260</v>
      </c>
      <c r="M23" s="20">
        <f t="shared" si="3"/>
        <v>120.3448275862069</v>
      </c>
      <c r="N23" s="20" t="str">
        <f t="shared" si="8"/>
        <v>Peste medie</v>
      </c>
    </row>
    <row r="24" spans="1:14" x14ac:dyDescent="0.3">
      <c r="A24" s="20" t="s">
        <v>0</v>
      </c>
      <c r="B24" s="20" t="s">
        <v>23</v>
      </c>
      <c r="C24" s="20" t="s">
        <v>2</v>
      </c>
      <c r="D24" s="23">
        <v>2108</v>
      </c>
      <c r="E24" s="20" t="str">
        <f t="shared" si="4"/>
        <v>2016</v>
      </c>
      <c r="F24" s="21">
        <f t="shared" si="9"/>
        <v>6.6857688634192934E-3</v>
      </c>
      <c r="G24" s="23">
        <f t="shared" si="0"/>
        <v>2087.75</v>
      </c>
      <c r="H24" s="20">
        <f t="shared" si="5"/>
        <v>20.25</v>
      </c>
      <c r="I24" s="23">
        <f t="shared" si="1"/>
        <v>1943</v>
      </c>
      <c r="J24" s="23">
        <f t="shared" si="2"/>
        <v>2354</v>
      </c>
      <c r="K24" s="25">
        <f t="shared" si="6"/>
        <v>165</v>
      </c>
      <c r="L24" s="25">
        <f t="shared" si="7"/>
        <v>-246</v>
      </c>
      <c r="M24" s="20">
        <f t="shared" si="3"/>
        <v>121.14942528735632</v>
      </c>
      <c r="N24" s="20" t="str">
        <f t="shared" si="8"/>
        <v>Peste medie</v>
      </c>
    </row>
    <row r="25" spans="1:14" x14ac:dyDescent="0.3">
      <c r="A25" s="20" t="s">
        <v>0</v>
      </c>
      <c r="B25" s="20" t="s">
        <v>24</v>
      </c>
      <c r="C25" s="20" t="s">
        <v>2</v>
      </c>
      <c r="D25" s="23">
        <v>2172</v>
      </c>
      <c r="E25" s="20" t="str">
        <f t="shared" si="4"/>
        <v>2016</v>
      </c>
      <c r="F25" s="21">
        <f t="shared" si="9"/>
        <v>3.0360531309297913E-2</v>
      </c>
      <c r="G25" s="23">
        <f t="shared" si="0"/>
        <v>2087.75</v>
      </c>
      <c r="H25" s="20">
        <f t="shared" si="5"/>
        <v>84.25</v>
      </c>
      <c r="I25" s="23">
        <f t="shared" si="1"/>
        <v>1943</v>
      </c>
      <c r="J25" s="23">
        <f t="shared" si="2"/>
        <v>2354</v>
      </c>
      <c r="K25" s="25">
        <f t="shared" si="6"/>
        <v>229</v>
      </c>
      <c r="L25" s="25">
        <f t="shared" si="7"/>
        <v>-182</v>
      </c>
      <c r="M25" s="20">
        <f t="shared" si="3"/>
        <v>124.82758620689656</v>
      </c>
      <c r="N25" s="20" t="str">
        <f t="shared" si="8"/>
        <v>Peste medie</v>
      </c>
    </row>
    <row r="26" spans="1:14" x14ac:dyDescent="0.3">
      <c r="A26" s="20" t="s">
        <v>0</v>
      </c>
      <c r="B26" s="20" t="s">
        <v>25</v>
      </c>
      <c r="C26" s="20" t="s">
        <v>2</v>
      </c>
      <c r="D26" s="23">
        <v>2354</v>
      </c>
      <c r="E26" s="20" t="str">
        <f t="shared" si="4"/>
        <v>2016</v>
      </c>
      <c r="F26" s="21">
        <f t="shared" si="9"/>
        <v>8.3793738489871081E-2</v>
      </c>
      <c r="G26" s="23">
        <f t="shared" si="0"/>
        <v>2087.75</v>
      </c>
      <c r="H26" s="20">
        <f t="shared" si="5"/>
        <v>266.25</v>
      </c>
      <c r="I26" s="23">
        <f t="shared" si="1"/>
        <v>1943</v>
      </c>
      <c r="J26" s="23">
        <f t="shared" si="2"/>
        <v>2354</v>
      </c>
      <c r="K26" s="25">
        <f t="shared" si="6"/>
        <v>411</v>
      </c>
      <c r="L26" s="25">
        <f t="shared" si="7"/>
        <v>0</v>
      </c>
      <c r="M26" s="20">
        <f t="shared" si="3"/>
        <v>135.28735632183907</v>
      </c>
      <c r="N26" s="20" t="str">
        <f t="shared" si="8"/>
        <v>Peste medie</v>
      </c>
    </row>
    <row r="27" spans="1:14" x14ac:dyDescent="0.3">
      <c r="A27" s="20" t="s">
        <v>0</v>
      </c>
      <c r="B27" s="20" t="s">
        <v>26</v>
      </c>
      <c r="C27" s="20" t="s">
        <v>2</v>
      </c>
      <c r="D27" s="23">
        <v>2300</v>
      </c>
      <c r="E27" s="20" t="str">
        <f t="shared" si="4"/>
        <v>2017</v>
      </c>
      <c r="F27" s="21">
        <f t="shared" si="9"/>
        <v>-2.2939677145284623E-2</v>
      </c>
      <c r="G27" s="23">
        <f t="shared" si="0"/>
        <v>2383.5833333333335</v>
      </c>
      <c r="H27" s="26">
        <f t="shared" si="5"/>
        <v>-83.583333333333485</v>
      </c>
      <c r="I27" s="23">
        <f t="shared" si="1"/>
        <v>2236</v>
      </c>
      <c r="J27" s="23">
        <f t="shared" si="2"/>
        <v>2629</v>
      </c>
      <c r="K27" s="25">
        <f t="shared" si="6"/>
        <v>64</v>
      </c>
      <c r="L27" s="25">
        <f t="shared" si="7"/>
        <v>-329</v>
      </c>
      <c r="M27" s="20">
        <f t="shared" si="3"/>
        <v>132.18390804597701</v>
      </c>
      <c r="N27" s="20" t="str">
        <f t="shared" si="8"/>
        <v>Sub medie</v>
      </c>
    </row>
    <row r="28" spans="1:14" x14ac:dyDescent="0.3">
      <c r="A28" s="20" t="s">
        <v>0</v>
      </c>
      <c r="B28" s="20" t="s">
        <v>27</v>
      </c>
      <c r="C28" s="20" t="s">
        <v>2</v>
      </c>
      <c r="D28" s="23">
        <v>2236</v>
      </c>
      <c r="E28" s="20" t="str">
        <f t="shared" si="4"/>
        <v>2017</v>
      </c>
      <c r="F28" s="21">
        <f t="shared" si="9"/>
        <v>-2.782608695652174E-2</v>
      </c>
      <c r="G28" s="23">
        <f t="shared" si="0"/>
        <v>2383.5833333333335</v>
      </c>
      <c r="H28" s="26">
        <f t="shared" si="5"/>
        <v>-147.58333333333348</v>
      </c>
      <c r="I28" s="23">
        <f t="shared" si="1"/>
        <v>2236</v>
      </c>
      <c r="J28" s="23">
        <f t="shared" si="2"/>
        <v>2629</v>
      </c>
      <c r="K28" s="25">
        <f t="shared" si="6"/>
        <v>0</v>
      </c>
      <c r="L28" s="25">
        <f t="shared" si="7"/>
        <v>-393</v>
      </c>
      <c r="M28" s="20">
        <f t="shared" si="3"/>
        <v>128.50574712643677</v>
      </c>
      <c r="N28" s="20" t="str">
        <f t="shared" si="8"/>
        <v>Sub medie</v>
      </c>
    </row>
    <row r="29" spans="1:14" x14ac:dyDescent="0.3">
      <c r="A29" s="20" t="s">
        <v>0</v>
      </c>
      <c r="B29" s="20" t="s">
        <v>28</v>
      </c>
      <c r="C29" s="20" t="s">
        <v>2</v>
      </c>
      <c r="D29" s="23">
        <v>2342</v>
      </c>
      <c r="E29" s="20" t="str">
        <f t="shared" si="4"/>
        <v>2017</v>
      </c>
      <c r="F29" s="21">
        <f t="shared" si="9"/>
        <v>4.7406082289803218E-2</v>
      </c>
      <c r="G29" s="23">
        <f t="shared" si="0"/>
        <v>2383.5833333333335</v>
      </c>
      <c r="H29" s="26">
        <f t="shared" si="5"/>
        <v>-41.583333333333485</v>
      </c>
      <c r="I29" s="23">
        <f t="shared" si="1"/>
        <v>2236</v>
      </c>
      <c r="J29" s="23">
        <f t="shared" si="2"/>
        <v>2629</v>
      </c>
      <c r="K29" s="25">
        <f t="shared" si="6"/>
        <v>106</v>
      </c>
      <c r="L29" s="25">
        <f t="shared" si="7"/>
        <v>-287</v>
      </c>
      <c r="M29" s="20">
        <f t="shared" si="3"/>
        <v>134.59770114942529</v>
      </c>
      <c r="N29" s="20" t="str">
        <f t="shared" si="8"/>
        <v>Sub medie</v>
      </c>
    </row>
    <row r="30" spans="1:14" x14ac:dyDescent="0.3">
      <c r="A30" s="20" t="s">
        <v>0</v>
      </c>
      <c r="B30" s="20" t="s">
        <v>29</v>
      </c>
      <c r="C30" s="20" t="s">
        <v>2</v>
      </c>
      <c r="D30" s="23">
        <v>2366</v>
      </c>
      <c r="E30" s="20" t="str">
        <f t="shared" si="4"/>
        <v>2017</v>
      </c>
      <c r="F30" s="21">
        <f t="shared" si="9"/>
        <v>1.0247651579846286E-2</v>
      </c>
      <c r="G30" s="23">
        <f t="shared" si="0"/>
        <v>2383.5833333333335</v>
      </c>
      <c r="H30" s="26">
        <f t="shared" si="5"/>
        <v>-17.583333333333485</v>
      </c>
      <c r="I30" s="23">
        <f t="shared" si="1"/>
        <v>2236</v>
      </c>
      <c r="J30" s="23">
        <f t="shared" si="2"/>
        <v>2629</v>
      </c>
      <c r="K30" s="25">
        <f t="shared" si="6"/>
        <v>130</v>
      </c>
      <c r="L30" s="25">
        <f t="shared" si="7"/>
        <v>-263</v>
      </c>
      <c r="M30" s="20">
        <f t="shared" si="3"/>
        <v>135.97701149425288</v>
      </c>
      <c r="N30" s="20" t="str">
        <f t="shared" si="8"/>
        <v>Sub medie</v>
      </c>
    </row>
    <row r="31" spans="1:14" x14ac:dyDescent="0.3">
      <c r="A31" s="20" t="s">
        <v>0</v>
      </c>
      <c r="B31" s="20" t="s">
        <v>30</v>
      </c>
      <c r="C31" s="20" t="s">
        <v>2</v>
      </c>
      <c r="D31" s="23">
        <v>2363</v>
      </c>
      <c r="E31" s="20" t="str">
        <f t="shared" si="4"/>
        <v>2017</v>
      </c>
      <c r="F31" s="21">
        <f t="shared" si="9"/>
        <v>-1.2679628064243449E-3</v>
      </c>
      <c r="G31" s="23">
        <f t="shared" si="0"/>
        <v>2383.5833333333335</v>
      </c>
      <c r="H31" s="26">
        <f t="shared" si="5"/>
        <v>-20.583333333333485</v>
      </c>
      <c r="I31" s="23">
        <f t="shared" si="1"/>
        <v>2236</v>
      </c>
      <c r="J31" s="23">
        <f t="shared" si="2"/>
        <v>2629</v>
      </c>
      <c r="K31" s="25">
        <f t="shared" si="6"/>
        <v>127</v>
      </c>
      <c r="L31" s="25">
        <f t="shared" si="7"/>
        <v>-266</v>
      </c>
      <c r="M31" s="20">
        <f t="shared" si="3"/>
        <v>135.80459770114942</v>
      </c>
      <c r="N31" s="20" t="str">
        <f t="shared" si="8"/>
        <v>Sub medie</v>
      </c>
    </row>
    <row r="32" spans="1:14" x14ac:dyDescent="0.3">
      <c r="A32" s="20" t="s">
        <v>0</v>
      </c>
      <c r="B32" s="20" t="s">
        <v>31</v>
      </c>
      <c r="C32" s="20" t="s">
        <v>2</v>
      </c>
      <c r="D32" s="23">
        <v>2380</v>
      </c>
      <c r="E32" s="20" t="str">
        <f t="shared" si="4"/>
        <v>2017</v>
      </c>
      <c r="F32" s="21">
        <f t="shared" si="9"/>
        <v>7.1942446043165471E-3</v>
      </c>
      <c r="G32" s="23">
        <f t="shared" si="0"/>
        <v>2383.5833333333335</v>
      </c>
      <c r="H32" s="26">
        <f t="shared" si="5"/>
        <v>-3.5833333333334849</v>
      </c>
      <c r="I32" s="23">
        <f t="shared" si="1"/>
        <v>2236</v>
      </c>
      <c r="J32" s="23">
        <f t="shared" si="2"/>
        <v>2629</v>
      </c>
      <c r="K32" s="25">
        <f t="shared" si="6"/>
        <v>144</v>
      </c>
      <c r="L32" s="25">
        <f t="shared" si="7"/>
        <v>-249</v>
      </c>
      <c r="M32" s="20">
        <f t="shared" si="3"/>
        <v>136.7816091954023</v>
      </c>
      <c r="N32" s="20" t="str">
        <f t="shared" si="8"/>
        <v>Sub medie</v>
      </c>
    </row>
    <row r="33" spans="1:14" x14ac:dyDescent="0.3">
      <c r="A33" s="20" t="s">
        <v>0</v>
      </c>
      <c r="B33" s="20" t="s">
        <v>32</v>
      </c>
      <c r="C33" s="20" t="s">
        <v>2</v>
      </c>
      <c r="D33" s="23">
        <v>2391</v>
      </c>
      <c r="E33" s="20" t="str">
        <f t="shared" si="4"/>
        <v>2017</v>
      </c>
      <c r="F33" s="21">
        <f t="shared" si="9"/>
        <v>4.6218487394957984E-3</v>
      </c>
      <c r="G33" s="23">
        <f t="shared" si="0"/>
        <v>2383.5833333333335</v>
      </c>
      <c r="H33" s="26">
        <f t="shared" si="5"/>
        <v>7.4166666666665151</v>
      </c>
      <c r="I33" s="23">
        <f t="shared" si="1"/>
        <v>2236</v>
      </c>
      <c r="J33" s="23">
        <f t="shared" si="2"/>
        <v>2629</v>
      </c>
      <c r="K33" s="25">
        <f t="shared" si="6"/>
        <v>155</v>
      </c>
      <c r="L33" s="25">
        <f t="shared" si="7"/>
        <v>-238</v>
      </c>
      <c r="M33" s="20">
        <f t="shared" si="3"/>
        <v>137.41379310344828</v>
      </c>
      <c r="N33" s="20" t="str">
        <f t="shared" si="8"/>
        <v>Peste medie</v>
      </c>
    </row>
    <row r="34" spans="1:14" x14ac:dyDescent="0.3">
      <c r="A34" s="20" t="s">
        <v>0</v>
      </c>
      <c r="B34" s="20" t="s">
        <v>33</v>
      </c>
      <c r="C34" s="20" t="s">
        <v>2</v>
      </c>
      <c r="D34" s="23">
        <v>2364</v>
      </c>
      <c r="E34" s="20" t="str">
        <f t="shared" si="4"/>
        <v>2017</v>
      </c>
      <c r="F34" s="21">
        <f t="shared" si="9"/>
        <v>-1.1292346298619825E-2</v>
      </c>
      <c r="G34" s="23">
        <f t="shared" si="0"/>
        <v>2383.5833333333335</v>
      </c>
      <c r="H34" s="26">
        <f t="shared" si="5"/>
        <v>-19.583333333333485</v>
      </c>
      <c r="I34" s="23">
        <f t="shared" si="1"/>
        <v>2236</v>
      </c>
      <c r="J34" s="23">
        <f t="shared" si="2"/>
        <v>2629</v>
      </c>
      <c r="K34" s="25">
        <f t="shared" si="6"/>
        <v>128</v>
      </c>
      <c r="L34" s="25">
        <f t="shared" si="7"/>
        <v>-265</v>
      </c>
      <c r="M34" s="20">
        <f t="shared" si="3"/>
        <v>135.86206896551724</v>
      </c>
      <c r="N34" s="20" t="str">
        <f t="shared" si="8"/>
        <v>Sub medie</v>
      </c>
    </row>
    <row r="35" spans="1:14" x14ac:dyDescent="0.3">
      <c r="A35" s="20" t="s">
        <v>0</v>
      </c>
      <c r="B35" s="20" t="s">
        <v>34</v>
      </c>
      <c r="C35" s="20" t="s">
        <v>2</v>
      </c>
      <c r="D35" s="23">
        <v>2376</v>
      </c>
      <c r="E35" s="20" t="str">
        <f t="shared" si="4"/>
        <v>2017</v>
      </c>
      <c r="F35" s="21">
        <f t="shared" si="9"/>
        <v>5.076142131979695E-3</v>
      </c>
      <c r="G35" s="23">
        <f t="shared" ref="G35:G66" si="10">SUMIF($E:$E,E35,$D:$D)/COUNTIF($E:$E,E35)</f>
        <v>2383.5833333333335</v>
      </c>
      <c r="H35" s="26">
        <f t="shared" si="5"/>
        <v>-7.5833333333334849</v>
      </c>
      <c r="I35" s="23">
        <f t="shared" ref="I35:I66" si="11">_xlfn.MINIFS($D:$D, $E:$E,E35)</f>
        <v>2236</v>
      </c>
      <c r="J35" s="23">
        <f t="shared" ref="J35:J66" si="12">_xlfn.MAXIFS($D:$D,$E:$E,E35)</f>
        <v>2629</v>
      </c>
      <c r="K35" s="25">
        <f t="shared" si="6"/>
        <v>140</v>
      </c>
      <c r="L35" s="25">
        <f t="shared" si="7"/>
        <v>-253</v>
      </c>
      <c r="M35" s="20">
        <f t="shared" ref="M35:M67" si="13">D35/$D$3*100</f>
        <v>136.55172413793105</v>
      </c>
      <c r="N35" s="20" t="str">
        <f t="shared" si="8"/>
        <v>Sub medie</v>
      </c>
    </row>
    <row r="36" spans="1:14" x14ac:dyDescent="0.3">
      <c r="A36" s="20" t="s">
        <v>0</v>
      </c>
      <c r="B36" s="20" t="s">
        <v>35</v>
      </c>
      <c r="C36" s="20" t="s">
        <v>2</v>
      </c>
      <c r="D36" s="23">
        <v>2392</v>
      </c>
      <c r="E36" s="20" t="str">
        <f t="shared" si="4"/>
        <v>2017</v>
      </c>
      <c r="F36" s="21">
        <f t="shared" si="9"/>
        <v>6.7340067340067337E-3</v>
      </c>
      <c r="G36" s="23">
        <f t="shared" si="10"/>
        <v>2383.5833333333335</v>
      </c>
      <c r="H36" s="26">
        <f t="shared" si="5"/>
        <v>8.4166666666665151</v>
      </c>
      <c r="I36" s="23">
        <f t="shared" si="11"/>
        <v>2236</v>
      </c>
      <c r="J36" s="23">
        <f t="shared" si="12"/>
        <v>2629</v>
      </c>
      <c r="K36" s="25">
        <f t="shared" si="6"/>
        <v>156</v>
      </c>
      <c r="L36" s="25">
        <f t="shared" si="7"/>
        <v>-237</v>
      </c>
      <c r="M36" s="20">
        <f t="shared" si="13"/>
        <v>137.4712643678161</v>
      </c>
      <c r="N36" s="20" t="str">
        <f t="shared" si="8"/>
        <v>Peste medie</v>
      </c>
    </row>
    <row r="37" spans="1:14" x14ac:dyDescent="0.3">
      <c r="A37" s="20" t="s">
        <v>0</v>
      </c>
      <c r="B37" s="20" t="s">
        <v>36</v>
      </c>
      <c r="C37" s="20" t="s">
        <v>2</v>
      </c>
      <c r="D37" s="23">
        <v>2464</v>
      </c>
      <c r="E37" s="20" t="str">
        <f t="shared" si="4"/>
        <v>2017</v>
      </c>
      <c r="F37" s="21">
        <f t="shared" si="9"/>
        <v>3.0100334448160536E-2</v>
      </c>
      <c r="G37" s="23">
        <f t="shared" si="10"/>
        <v>2383.5833333333335</v>
      </c>
      <c r="H37" s="26">
        <f t="shared" si="5"/>
        <v>80.416666666666515</v>
      </c>
      <c r="I37" s="23">
        <f t="shared" si="11"/>
        <v>2236</v>
      </c>
      <c r="J37" s="23">
        <f t="shared" si="12"/>
        <v>2629</v>
      </c>
      <c r="K37" s="25">
        <f t="shared" si="6"/>
        <v>228</v>
      </c>
      <c r="L37" s="25">
        <f t="shared" si="7"/>
        <v>-165</v>
      </c>
      <c r="M37" s="20">
        <f t="shared" si="13"/>
        <v>141.60919540229887</v>
      </c>
      <c r="N37" s="20" t="str">
        <f t="shared" si="8"/>
        <v>Peste medie</v>
      </c>
    </row>
    <row r="38" spans="1:14" x14ac:dyDescent="0.3">
      <c r="A38" s="20" t="s">
        <v>0</v>
      </c>
      <c r="B38" s="20" t="s">
        <v>37</v>
      </c>
      <c r="C38" s="20" t="s">
        <v>2</v>
      </c>
      <c r="D38" s="23">
        <v>2629</v>
      </c>
      <c r="E38" s="20" t="str">
        <f t="shared" si="4"/>
        <v>2017</v>
      </c>
      <c r="F38" s="21">
        <f t="shared" si="9"/>
        <v>6.6964285714285712E-2</v>
      </c>
      <c r="G38" s="23">
        <f t="shared" si="10"/>
        <v>2383.5833333333335</v>
      </c>
      <c r="H38" s="26">
        <f t="shared" si="5"/>
        <v>245.41666666666652</v>
      </c>
      <c r="I38" s="23">
        <f t="shared" si="11"/>
        <v>2236</v>
      </c>
      <c r="J38" s="23">
        <f t="shared" si="12"/>
        <v>2629</v>
      </c>
      <c r="K38" s="25">
        <f t="shared" si="6"/>
        <v>393</v>
      </c>
      <c r="L38" s="25">
        <f t="shared" si="7"/>
        <v>0</v>
      </c>
      <c r="M38" s="20">
        <f t="shared" si="13"/>
        <v>151.09195402298849</v>
      </c>
      <c r="N38" s="20" t="str">
        <f t="shared" si="8"/>
        <v>Peste medie</v>
      </c>
    </row>
    <row r="39" spans="1:14" x14ac:dyDescent="0.3">
      <c r="A39" s="20" t="s">
        <v>0</v>
      </c>
      <c r="B39" s="20" t="s">
        <v>38</v>
      </c>
      <c r="C39" s="20" t="s">
        <v>2</v>
      </c>
      <c r="D39" s="23">
        <v>2484</v>
      </c>
      <c r="E39" s="20" t="str">
        <f t="shared" si="4"/>
        <v>2018</v>
      </c>
      <c r="F39" s="21">
        <f t="shared" si="9"/>
        <v>-5.5154050969950554E-2</v>
      </c>
      <c r="G39" s="23">
        <f t="shared" si="10"/>
        <v>2695.5833333333335</v>
      </c>
      <c r="H39" s="26">
        <f t="shared" si="5"/>
        <v>-211.58333333333348</v>
      </c>
      <c r="I39" s="23">
        <f t="shared" si="11"/>
        <v>2484</v>
      </c>
      <c r="J39" s="23">
        <f t="shared" si="12"/>
        <v>2957</v>
      </c>
      <c r="K39" s="25">
        <f t="shared" si="6"/>
        <v>0</v>
      </c>
      <c r="L39" s="25">
        <f t="shared" si="7"/>
        <v>-473</v>
      </c>
      <c r="M39" s="20">
        <f t="shared" si="13"/>
        <v>142.75862068965517</v>
      </c>
      <c r="N39" s="20" t="str">
        <f t="shared" si="8"/>
        <v>Sub medie</v>
      </c>
    </row>
    <row r="40" spans="1:14" x14ac:dyDescent="0.3">
      <c r="A40" s="20" t="s">
        <v>0</v>
      </c>
      <c r="B40" s="20" t="s">
        <v>39</v>
      </c>
      <c r="C40" s="20" t="s">
        <v>2</v>
      </c>
      <c r="D40" s="23">
        <v>2487</v>
      </c>
      <c r="E40" s="20" t="str">
        <f t="shared" si="4"/>
        <v>2018</v>
      </c>
      <c r="F40" s="21">
        <f t="shared" si="9"/>
        <v>1.2077294685990338E-3</v>
      </c>
      <c r="G40" s="23">
        <f t="shared" si="10"/>
        <v>2695.5833333333335</v>
      </c>
      <c r="H40" s="26">
        <f t="shared" si="5"/>
        <v>-208.58333333333348</v>
      </c>
      <c r="I40" s="23">
        <f t="shared" si="11"/>
        <v>2484</v>
      </c>
      <c r="J40" s="23">
        <f t="shared" si="12"/>
        <v>2957</v>
      </c>
      <c r="K40" s="25">
        <f t="shared" si="6"/>
        <v>3</v>
      </c>
      <c r="L40" s="25">
        <f t="shared" si="7"/>
        <v>-470</v>
      </c>
      <c r="M40" s="20">
        <f t="shared" si="13"/>
        <v>142.93103448275861</v>
      </c>
      <c r="N40" s="20" t="str">
        <f t="shared" si="8"/>
        <v>Sub medie</v>
      </c>
    </row>
    <row r="41" spans="1:14" x14ac:dyDescent="0.3">
      <c r="A41" s="20" t="s">
        <v>0</v>
      </c>
      <c r="B41" s="20" t="s">
        <v>40</v>
      </c>
      <c r="C41" s="20" t="s">
        <v>2</v>
      </c>
      <c r="D41" s="23">
        <v>2704</v>
      </c>
      <c r="E41" s="20" t="str">
        <f t="shared" si="4"/>
        <v>2018</v>
      </c>
      <c r="F41" s="21">
        <f t="shared" si="9"/>
        <v>8.7253719340570968E-2</v>
      </c>
      <c r="G41" s="23">
        <f t="shared" si="10"/>
        <v>2695.5833333333335</v>
      </c>
      <c r="H41" s="26">
        <f t="shared" si="5"/>
        <v>8.4166666666665151</v>
      </c>
      <c r="I41" s="23">
        <f t="shared" si="11"/>
        <v>2484</v>
      </c>
      <c r="J41" s="23">
        <f t="shared" si="12"/>
        <v>2957</v>
      </c>
      <c r="K41" s="25">
        <f t="shared" si="6"/>
        <v>220</v>
      </c>
      <c r="L41" s="25">
        <f t="shared" si="7"/>
        <v>-253</v>
      </c>
      <c r="M41" s="20">
        <f t="shared" si="13"/>
        <v>155.40229885057471</v>
      </c>
      <c r="N41" s="20" t="str">
        <f t="shared" si="8"/>
        <v>Peste medie</v>
      </c>
    </row>
    <row r="42" spans="1:14" x14ac:dyDescent="0.3">
      <c r="A42" s="20" t="s">
        <v>0</v>
      </c>
      <c r="B42" s="20" t="s">
        <v>41</v>
      </c>
      <c r="C42" s="20" t="s">
        <v>2</v>
      </c>
      <c r="D42" s="23">
        <v>2713</v>
      </c>
      <c r="E42" s="20" t="str">
        <f t="shared" si="4"/>
        <v>2018</v>
      </c>
      <c r="F42" s="21">
        <f t="shared" si="9"/>
        <v>3.3284023668639054E-3</v>
      </c>
      <c r="G42" s="23">
        <f t="shared" si="10"/>
        <v>2695.5833333333335</v>
      </c>
      <c r="H42" s="26">
        <f t="shared" si="5"/>
        <v>17.416666666666515</v>
      </c>
      <c r="I42" s="23">
        <f t="shared" si="11"/>
        <v>2484</v>
      </c>
      <c r="J42" s="23">
        <f t="shared" si="12"/>
        <v>2957</v>
      </c>
      <c r="K42" s="25">
        <f t="shared" si="6"/>
        <v>229</v>
      </c>
      <c r="L42" s="25">
        <f t="shared" si="7"/>
        <v>-244</v>
      </c>
      <c r="M42" s="20">
        <f t="shared" si="13"/>
        <v>155.91954022988506</v>
      </c>
      <c r="N42" s="20" t="str">
        <f t="shared" si="8"/>
        <v>Peste medie</v>
      </c>
    </row>
    <row r="43" spans="1:14" x14ac:dyDescent="0.3">
      <c r="A43" s="20" t="s">
        <v>0</v>
      </c>
      <c r="B43" s="20" t="s">
        <v>42</v>
      </c>
      <c r="C43" s="20" t="s">
        <v>2</v>
      </c>
      <c r="D43" s="23">
        <v>2704</v>
      </c>
      <c r="E43" s="20" t="str">
        <f t="shared" si="4"/>
        <v>2018</v>
      </c>
      <c r="F43" s="21">
        <f t="shared" si="9"/>
        <v>-3.3173608551419092E-3</v>
      </c>
      <c r="G43" s="23">
        <f t="shared" si="10"/>
        <v>2695.5833333333335</v>
      </c>
      <c r="H43" s="26">
        <f t="shared" si="5"/>
        <v>8.4166666666665151</v>
      </c>
      <c r="I43" s="23">
        <f t="shared" si="11"/>
        <v>2484</v>
      </c>
      <c r="J43" s="23">
        <f t="shared" si="12"/>
        <v>2957</v>
      </c>
      <c r="K43" s="25">
        <f t="shared" si="6"/>
        <v>220</v>
      </c>
      <c r="L43" s="25">
        <f t="shared" si="7"/>
        <v>-253</v>
      </c>
      <c r="M43" s="20">
        <f t="shared" si="13"/>
        <v>155.40229885057471</v>
      </c>
      <c r="N43" s="20" t="str">
        <f t="shared" si="8"/>
        <v>Peste medie</v>
      </c>
    </row>
    <row r="44" spans="1:14" x14ac:dyDescent="0.3">
      <c r="A44" s="20" t="s">
        <v>0</v>
      </c>
      <c r="B44" s="20" t="s">
        <v>43</v>
      </c>
      <c r="C44" s="20" t="s">
        <v>2</v>
      </c>
      <c r="D44" s="23">
        <v>2721</v>
      </c>
      <c r="E44" s="20" t="str">
        <f t="shared" si="4"/>
        <v>2018</v>
      </c>
      <c r="F44" s="21">
        <f t="shared" si="9"/>
        <v>6.2869822485207101E-3</v>
      </c>
      <c r="G44" s="23">
        <f t="shared" si="10"/>
        <v>2695.5833333333335</v>
      </c>
      <c r="H44" s="26">
        <f t="shared" si="5"/>
        <v>25.416666666666515</v>
      </c>
      <c r="I44" s="23">
        <f t="shared" si="11"/>
        <v>2484</v>
      </c>
      <c r="J44" s="23">
        <f t="shared" si="12"/>
        <v>2957</v>
      </c>
      <c r="K44" s="25">
        <f t="shared" si="6"/>
        <v>237</v>
      </c>
      <c r="L44" s="25">
        <f t="shared" si="7"/>
        <v>-236</v>
      </c>
      <c r="M44" s="20">
        <f t="shared" si="13"/>
        <v>156.37931034482759</v>
      </c>
      <c r="N44" s="20" t="str">
        <f t="shared" si="8"/>
        <v>Peste medie</v>
      </c>
    </row>
    <row r="45" spans="1:14" x14ac:dyDescent="0.3">
      <c r="A45" s="20" t="s">
        <v>0</v>
      </c>
      <c r="B45" s="20" t="s">
        <v>44</v>
      </c>
      <c r="C45" s="20" t="s">
        <v>2</v>
      </c>
      <c r="D45" s="23">
        <v>2708</v>
      </c>
      <c r="E45" s="20" t="str">
        <f t="shared" si="4"/>
        <v>2018</v>
      </c>
      <c r="F45" s="21">
        <f t="shared" si="9"/>
        <v>-4.7776552737963983E-3</v>
      </c>
      <c r="G45" s="23">
        <f t="shared" si="10"/>
        <v>2695.5833333333335</v>
      </c>
      <c r="H45" s="26">
        <f t="shared" si="5"/>
        <v>12.416666666666515</v>
      </c>
      <c r="I45" s="23">
        <f t="shared" si="11"/>
        <v>2484</v>
      </c>
      <c r="J45" s="23">
        <f t="shared" si="12"/>
        <v>2957</v>
      </c>
      <c r="K45" s="25">
        <f t="shared" si="6"/>
        <v>224</v>
      </c>
      <c r="L45" s="25">
        <f t="shared" si="7"/>
        <v>-249</v>
      </c>
      <c r="M45" s="20">
        <f t="shared" si="13"/>
        <v>155.63218390804599</v>
      </c>
      <c r="N45" s="20" t="str">
        <f t="shared" si="8"/>
        <v>Peste medie</v>
      </c>
    </row>
    <row r="46" spans="1:14" x14ac:dyDescent="0.3">
      <c r="A46" s="20" t="s">
        <v>0</v>
      </c>
      <c r="B46" s="20" t="s">
        <v>45</v>
      </c>
      <c r="C46" s="20" t="s">
        <v>2</v>
      </c>
      <c r="D46" s="23">
        <v>2669</v>
      </c>
      <c r="E46" s="20" t="str">
        <f t="shared" si="4"/>
        <v>2018</v>
      </c>
      <c r="F46" s="21">
        <f t="shared" si="9"/>
        <v>-1.4401772525849335E-2</v>
      </c>
      <c r="G46" s="23">
        <f t="shared" si="10"/>
        <v>2695.5833333333335</v>
      </c>
      <c r="H46" s="26">
        <f t="shared" si="5"/>
        <v>-26.583333333333485</v>
      </c>
      <c r="I46" s="23">
        <f t="shared" si="11"/>
        <v>2484</v>
      </c>
      <c r="J46" s="23">
        <f t="shared" si="12"/>
        <v>2957</v>
      </c>
      <c r="K46" s="25">
        <f t="shared" si="6"/>
        <v>185</v>
      </c>
      <c r="L46" s="25">
        <f t="shared" si="7"/>
        <v>-288</v>
      </c>
      <c r="M46" s="20">
        <f t="shared" si="13"/>
        <v>153.39080459770116</v>
      </c>
      <c r="N46" s="20" t="str">
        <f t="shared" si="8"/>
        <v>Sub medie</v>
      </c>
    </row>
    <row r="47" spans="1:14" x14ac:dyDescent="0.3">
      <c r="A47" s="20" t="s">
        <v>0</v>
      </c>
      <c r="B47" s="20" t="s">
        <v>46</v>
      </c>
      <c r="C47" s="20" t="s">
        <v>2</v>
      </c>
      <c r="D47" s="23">
        <v>2688</v>
      </c>
      <c r="E47" s="20" t="str">
        <f t="shared" si="4"/>
        <v>2018</v>
      </c>
      <c r="F47" s="21">
        <f t="shared" si="9"/>
        <v>7.1187710753091047E-3</v>
      </c>
      <c r="G47" s="23">
        <f t="shared" si="10"/>
        <v>2695.5833333333335</v>
      </c>
      <c r="H47" s="26">
        <f t="shared" si="5"/>
        <v>-7.5833333333334849</v>
      </c>
      <c r="I47" s="23">
        <f t="shared" si="11"/>
        <v>2484</v>
      </c>
      <c r="J47" s="23">
        <f t="shared" si="12"/>
        <v>2957</v>
      </c>
      <c r="K47" s="25">
        <f t="shared" si="6"/>
        <v>204</v>
      </c>
      <c r="L47" s="25">
        <f t="shared" si="7"/>
        <v>-269</v>
      </c>
      <c r="M47" s="20">
        <f t="shared" si="13"/>
        <v>154.48275862068965</v>
      </c>
      <c r="N47" s="20" t="str">
        <f t="shared" si="8"/>
        <v>Sub medie</v>
      </c>
    </row>
    <row r="48" spans="1:14" x14ac:dyDescent="0.3">
      <c r="A48" s="20" t="s">
        <v>0</v>
      </c>
      <c r="B48" s="20" t="s">
        <v>47</v>
      </c>
      <c r="C48" s="20" t="s">
        <v>2</v>
      </c>
      <c r="D48" s="23">
        <v>2720</v>
      </c>
      <c r="E48" s="20" t="str">
        <f t="shared" si="4"/>
        <v>2018</v>
      </c>
      <c r="F48" s="21">
        <f t="shared" si="9"/>
        <v>1.1904761904761904E-2</v>
      </c>
      <c r="G48" s="23">
        <f t="shared" si="10"/>
        <v>2695.5833333333335</v>
      </c>
      <c r="H48" s="26">
        <f t="shared" si="5"/>
        <v>24.416666666666515</v>
      </c>
      <c r="I48" s="23">
        <f t="shared" si="11"/>
        <v>2484</v>
      </c>
      <c r="J48" s="23">
        <f t="shared" si="12"/>
        <v>2957</v>
      </c>
      <c r="K48" s="25">
        <f t="shared" si="6"/>
        <v>236</v>
      </c>
      <c r="L48" s="25">
        <f t="shared" si="7"/>
        <v>-237</v>
      </c>
      <c r="M48" s="20">
        <f t="shared" si="13"/>
        <v>156.32183908045977</v>
      </c>
      <c r="N48" s="20" t="str">
        <f t="shared" si="8"/>
        <v>Peste medie</v>
      </c>
    </row>
    <row r="49" spans="1:14" x14ac:dyDescent="0.3">
      <c r="A49" s="20" t="s">
        <v>0</v>
      </c>
      <c r="B49" s="20" t="s">
        <v>48</v>
      </c>
      <c r="C49" s="20" t="s">
        <v>2</v>
      </c>
      <c r="D49" s="23">
        <v>2792</v>
      </c>
      <c r="E49" s="20" t="str">
        <f t="shared" si="4"/>
        <v>2018</v>
      </c>
      <c r="F49" s="21">
        <f t="shared" si="9"/>
        <v>2.6470588235294117E-2</v>
      </c>
      <c r="G49" s="23">
        <f t="shared" si="10"/>
        <v>2695.5833333333335</v>
      </c>
      <c r="H49" s="26">
        <f t="shared" si="5"/>
        <v>96.416666666666515</v>
      </c>
      <c r="I49" s="23">
        <f t="shared" si="11"/>
        <v>2484</v>
      </c>
      <c r="J49" s="23">
        <f t="shared" si="12"/>
        <v>2957</v>
      </c>
      <c r="K49" s="25">
        <f t="shared" si="6"/>
        <v>308</v>
      </c>
      <c r="L49" s="25">
        <f t="shared" si="7"/>
        <v>-165</v>
      </c>
      <c r="M49" s="20">
        <f t="shared" si="13"/>
        <v>160.45977011494253</v>
      </c>
      <c r="N49" s="20" t="str">
        <f t="shared" si="8"/>
        <v>Peste medie</v>
      </c>
    </row>
    <row r="50" spans="1:14" x14ac:dyDescent="0.3">
      <c r="A50" s="20" t="s">
        <v>0</v>
      </c>
      <c r="B50" s="20" t="s">
        <v>49</v>
      </c>
      <c r="C50" s="20" t="s">
        <v>2</v>
      </c>
      <c r="D50" s="23">
        <v>2957</v>
      </c>
      <c r="E50" s="20" t="str">
        <f t="shared" si="4"/>
        <v>2018</v>
      </c>
      <c r="F50" s="21">
        <f t="shared" si="9"/>
        <v>5.9097421203438395E-2</v>
      </c>
      <c r="G50" s="23">
        <f t="shared" si="10"/>
        <v>2695.5833333333335</v>
      </c>
      <c r="H50" s="26">
        <f t="shared" si="5"/>
        <v>261.41666666666652</v>
      </c>
      <c r="I50" s="23">
        <f t="shared" si="11"/>
        <v>2484</v>
      </c>
      <c r="J50" s="23">
        <f t="shared" si="12"/>
        <v>2957</v>
      </c>
      <c r="K50" s="25">
        <f t="shared" si="6"/>
        <v>473</v>
      </c>
      <c r="L50" s="25">
        <f t="shared" si="7"/>
        <v>0</v>
      </c>
      <c r="M50" s="20">
        <f t="shared" si="13"/>
        <v>169.94252873563218</v>
      </c>
      <c r="N50" s="20" t="str">
        <f t="shared" si="8"/>
        <v>Peste medie</v>
      </c>
    </row>
    <row r="51" spans="1:14" x14ac:dyDescent="0.3">
      <c r="A51" s="20" t="s">
        <v>0</v>
      </c>
      <c r="B51" s="20" t="s">
        <v>50</v>
      </c>
      <c r="C51" s="20" t="s">
        <v>2</v>
      </c>
      <c r="D51" s="23">
        <v>2936</v>
      </c>
      <c r="E51" s="20" t="str">
        <f t="shared" si="4"/>
        <v>2019</v>
      </c>
      <c r="F51" s="21">
        <f t="shared" si="9"/>
        <v>-7.1017923571187018E-3</v>
      </c>
      <c r="G51" s="23">
        <f t="shared" si="10"/>
        <v>3098.5</v>
      </c>
      <c r="H51" s="20">
        <f t="shared" si="5"/>
        <v>-162.5</v>
      </c>
      <c r="I51" s="23">
        <f t="shared" si="11"/>
        <v>2933</v>
      </c>
      <c r="J51" s="23">
        <f t="shared" si="12"/>
        <v>3340</v>
      </c>
      <c r="K51" s="25">
        <f t="shared" si="6"/>
        <v>3</v>
      </c>
      <c r="L51" s="25">
        <f t="shared" si="7"/>
        <v>-404</v>
      </c>
      <c r="M51" s="20">
        <f t="shared" si="13"/>
        <v>168.73563218390802</v>
      </c>
      <c r="N51" s="20" t="str">
        <f t="shared" si="8"/>
        <v>Sub medie</v>
      </c>
    </row>
    <row r="52" spans="1:14" x14ac:dyDescent="0.3">
      <c r="A52" s="20" t="s">
        <v>0</v>
      </c>
      <c r="B52" s="20" t="s">
        <v>51</v>
      </c>
      <c r="C52" s="20" t="s">
        <v>2</v>
      </c>
      <c r="D52" s="23">
        <v>2933</v>
      </c>
      <c r="E52" s="20" t="str">
        <f t="shared" si="4"/>
        <v>2019</v>
      </c>
      <c r="F52" s="21">
        <f t="shared" si="9"/>
        <v>-1.0217983651226157E-3</v>
      </c>
      <c r="G52" s="23">
        <f t="shared" si="10"/>
        <v>3098.5</v>
      </c>
      <c r="H52" s="20">
        <f t="shared" si="5"/>
        <v>-165.5</v>
      </c>
      <c r="I52" s="23">
        <f t="shared" si="11"/>
        <v>2933</v>
      </c>
      <c r="J52" s="23">
        <f t="shared" si="12"/>
        <v>3340</v>
      </c>
      <c r="K52" s="25">
        <f t="shared" si="6"/>
        <v>0</v>
      </c>
      <c r="L52" s="25">
        <f t="shared" si="7"/>
        <v>-407</v>
      </c>
      <c r="M52" s="20">
        <f t="shared" si="13"/>
        <v>168.56321839080459</v>
      </c>
      <c r="N52" s="20" t="str">
        <f t="shared" si="8"/>
        <v>Sub medie</v>
      </c>
    </row>
    <row r="53" spans="1:14" x14ac:dyDescent="0.3">
      <c r="A53" s="20" t="s">
        <v>0</v>
      </c>
      <c r="B53" s="20" t="s">
        <v>52</v>
      </c>
      <c r="C53" s="20" t="s">
        <v>2</v>
      </c>
      <c r="D53" s="23">
        <v>3075</v>
      </c>
      <c r="E53" s="20" t="str">
        <f t="shared" si="4"/>
        <v>2019</v>
      </c>
      <c r="F53" s="21">
        <f t="shared" si="9"/>
        <v>4.8414592567337197E-2</v>
      </c>
      <c r="G53" s="23">
        <f t="shared" si="10"/>
        <v>3098.5</v>
      </c>
      <c r="H53" s="20">
        <f t="shared" si="5"/>
        <v>-23.5</v>
      </c>
      <c r="I53" s="23">
        <f t="shared" si="11"/>
        <v>2933</v>
      </c>
      <c r="J53" s="23">
        <f t="shared" si="12"/>
        <v>3340</v>
      </c>
      <c r="K53" s="25">
        <f t="shared" si="6"/>
        <v>142</v>
      </c>
      <c r="L53" s="25">
        <f t="shared" si="7"/>
        <v>-265</v>
      </c>
      <c r="M53" s="20">
        <f t="shared" si="13"/>
        <v>176.72413793103448</v>
      </c>
      <c r="N53" s="20" t="str">
        <f t="shared" si="8"/>
        <v>Sub medie</v>
      </c>
    </row>
    <row r="54" spans="1:14" x14ac:dyDescent="0.3">
      <c r="A54" s="20" t="s">
        <v>0</v>
      </c>
      <c r="B54" s="20" t="s">
        <v>53</v>
      </c>
      <c r="C54" s="20" t="s">
        <v>2</v>
      </c>
      <c r="D54" s="23">
        <v>3115</v>
      </c>
      <c r="E54" s="20" t="str">
        <f t="shared" si="4"/>
        <v>2019</v>
      </c>
      <c r="F54" s="21">
        <f t="shared" si="9"/>
        <v>1.3008130081300813E-2</v>
      </c>
      <c r="G54" s="23">
        <f t="shared" si="10"/>
        <v>3098.5</v>
      </c>
      <c r="H54" s="20">
        <f t="shared" si="5"/>
        <v>16.5</v>
      </c>
      <c r="I54" s="23">
        <f t="shared" si="11"/>
        <v>2933</v>
      </c>
      <c r="J54" s="23">
        <f t="shared" si="12"/>
        <v>3340</v>
      </c>
      <c r="K54" s="25">
        <f t="shared" si="6"/>
        <v>182</v>
      </c>
      <c r="L54" s="25">
        <f t="shared" si="7"/>
        <v>-225</v>
      </c>
      <c r="M54" s="20">
        <f t="shared" si="13"/>
        <v>179.02298850574712</v>
      </c>
      <c r="N54" s="20" t="str">
        <f t="shared" si="8"/>
        <v>Peste medie</v>
      </c>
    </row>
    <row r="55" spans="1:14" x14ac:dyDescent="0.3">
      <c r="A55" s="20" t="s">
        <v>0</v>
      </c>
      <c r="B55" s="20" t="s">
        <v>54</v>
      </c>
      <c r="C55" s="20" t="s">
        <v>2</v>
      </c>
      <c r="D55" s="23">
        <v>3101</v>
      </c>
      <c r="E55" s="20" t="str">
        <f t="shared" si="4"/>
        <v>2019</v>
      </c>
      <c r="F55" s="21">
        <f t="shared" si="9"/>
        <v>-4.4943820224719105E-3</v>
      </c>
      <c r="G55" s="23">
        <f t="shared" si="10"/>
        <v>3098.5</v>
      </c>
      <c r="H55" s="20">
        <f t="shared" si="5"/>
        <v>2.5</v>
      </c>
      <c r="I55" s="23">
        <f t="shared" si="11"/>
        <v>2933</v>
      </c>
      <c r="J55" s="23">
        <f t="shared" si="12"/>
        <v>3340</v>
      </c>
      <c r="K55" s="25">
        <f t="shared" si="6"/>
        <v>168</v>
      </c>
      <c r="L55" s="25">
        <f t="shared" si="7"/>
        <v>-239</v>
      </c>
      <c r="M55" s="20">
        <f t="shared" si="13"/>
        <v>178.2183908045977</v>
      </c>
      <c r="N55" s="20" t="str">
        <f t="shared" si="8"/>
        <v>Peste medie</v>
      </c>
    </row>
    <row r="56" spans="1:14" x14ac:dyDescent="0.3">
      <c r="A56" s="20" t="s">
        <v>0</v>
      </c>
      <c r="B56" s="20" t="s">
        <v>55</v>
      </c>
      <c r="C56" s="20" t="s">
        <v>2</v>
      </c>
      <c r="D56" s="23">
        <v>3142</v>
      </c>
      <c r="E56" s="20" t="str">
        <f t="shared" si="4"/>
        <v>2019</v>
      </c>
      <c r="F56" s="21">
        <f t="shared" si="9"/>
        <v>1.3221541438245728E-2</v>
      </c>
      <c r="G56" s="23">
        <f t="shared" si="10"/>
        <v>3098.5</v>
      </c>
      <c r="H56" s="20">
        <f t="shared" si="5"/>
        <v>43.5</v>
      </c>
      <c r="I56" s="23">
        <f t="shared" si="11"/>
        <v>2933</v>
      </c>
      <c r="J56" s="23">
        <f t="shared" si="12"/>
        <v>3340</v>
      </c>
      <c r="K56" s="25">
        <f t="shared" si="6"/>
        <v>209</v>
      </c>
      <c r="L56" s="25">
        <f t="shared" si="7"/>
        <v>-198</v>
      </c>
      <c r="M56" s="20">
        <f t="shared" si="13"/>
        <v>180.57471264367817</v>
      </c>
      <c r="N56" s="20" t="str">
        <f t="shared" si="8"/>
        <v>Peste medie</v>
      </c>
    </row>
    <row r="57" spans="1:14" x14ac:dyDescent="0.3">
      <c r="A57" s="20" t="s">
        <v>0</v>
      </c>
      <c r="B57" s="20" t="s">
        <v>56</v>
      </c>
      <c r="C57" s="20" t="s">
        <v>2</v>
      </c>
      <c r="D57" s="23">
        <v>3119</v>
      </c>
      <c r="E57" s="20" t="str">
        <f t="shared" si="4"/>
        <v>2019</v>
      </c>
      <c r="F57" s="21">
        <f t="shared" si="9"/>
        <v>-7.3201782304264801E-3</v>
      </c>
      <c r="G57" s="23">
        <f t="shared" si="10"/>
        <v>3098.5</v>
      </c>
      <c r="H57" s="20">
        <f t="shared" si="5"/>
        <v>20.5</v>
      </c>
      <c r="I57" s="23">
        <f t="shared" si="11"/>
        <v>2933</v>
      </c>
      <c r="J57" s="23">
        <f t="shared" si="12"/>
        <v>3340</v>
      </c>
      <c r="K57" s="25">
        <f t="shared" si="6"/>
        <v>186</v>
      </c>
      <c r="L57" s="25">
        <f t="shared" si="7"/>
        <v>-221</v>
      </c>
      <c r="M57" s="20">
        <f t="shared" si="13"/>
        <v>179.2528735632184</v>
      </c>
      <c r="N57" s="20" t="str">
        <f t="shared" si="8"/>
        <v>Peste medie</v>
      </c>
    </row>
    <row r="58" spans="1:14" x14ac:dyDescent="0.3">
      <c r="A58" s="20" t="s">
        <v>0</v>
      </c>
      <c r="B58" s="20" t="s">
        <v>57</v>
      </c>
      <c r="C58" s="20" t="s">
        <v>2</v>
      </c>
      <c r="D58" s="23">
        <v>3044</v>
      </c>
      <c r="E58" s="20" t="str">
        <f t="shared" si="4"/>
        <v>2019</v>
      </c>
      <c r="F58" s="21">
        <f t="shared" si="9"/>
        <v>-2.4046168643796089E-2</v>
      </c>
      <c r="G58" s="23">
        <f t="shared" si="10"/>
        <v>3098.5</v>
      </c>
      <c r="H58" s="20">
        <f t="shared" si="5"/>
        <v>-54.5</v>
      </c>
      <c r="I58" s="23">
        <f t="shared" si="11"/>
        <v>2933</v>
      </c>
      <c r="J58" s="23">
        <f t="shared" si="12"/>
        <v>3340</v>
      </c>
      <c r="K58" s="25">
        <f t="shared" si="6"/>
        <v>111</v>
      </c>
      <c r="L58" s="25">
        <f t="shared" si="7"/>
        <v>-296</v>
      </c>
      <c r="M58" s="20">
        <f t="shared" si="13"/>
        <v>174.94252873563218</v>
      </c>
      <c r="N58" s="20" t="str">
        <f t="shared" si="8"/>
        <v>Sub medie</v>
      </c>
    </row>
    <row r="59" spans="1:14" x14ac:dyDescent="0.3">
      <c r="A59" s="20" t="s">
        <v>0</v>
      </c>
      <c r="B59" s="20" t="s">
        <v>58</v>
      </c>
      <c r="C59" s="20" t="s">
        <v>2</v>
      </c>
      <c r="D59" s="23">
        <v>3082</v>
      </c>
      <c r="E59" s="20" t="str">
        <f t="shared" si="4"/>
        <v>2019</v>
      </c>
      <c r="F59" s="21">
        <f t="shared" si="9"/>
        <v>1.2483574244415242E-2</v>
      </c>
      <c r="G59" s="23">
        <f t="shared" si="10"/>
        <v>3098.5</v>
      </c>
      <c r="H59" s="20">
        <f t="shared" si="5"/>
        <v>-16.5</v>
      </c>
      <c r="I59" s="23">
        <f t="shared" si="11"/>
        <v>2933</v>
      </c>
      <c r="J59" s="23">
        <f t="shared" si="12"/>
        <v>3340</v>
      </c>
      <c r="K59" s="25">
        <f t="shared" si="6"/>
        <v>149</v>
      </c>
      <c r="L59" s="25">
        <f t="shared" si="7"/>
        <v>-258</v>
      </c>
      <c r="M59" s="20">
        <f t="shared" si="13"/>
        <v>177.12643678160919</v>
      </c>
      <c r="N59" s="20" t="str">
        <f t="shared" si="8"/>
        <v>Sub medie</v>
      </c>
    </row>
    <row r="60" spans="1:14" x14ac:dyDescent="0.3">
      <c r="A60" s="20" t="s">
        <v>0</v>
      </c>
      <c r="B60" s="20" t="s">
        <v>59</v>
      </c>
      <c r="C60" s="20" t="s">
        <v>2</v>
      </c>
      <c r="D60" s="23">
        <v>3116</v>
      </c>
      <c r="E60" s="20" t="str">
        <f t="shared" si="4"/>
        <v>2019</v>
      </c>
      <c r="F60" s="21">
        <f t="shared" si="9"/>
        <v>1.1031797534068787E-2</v>
      </c>
      <c r="G60" s="23">
        <f t="shared" si="10"/>
        <v>3098.5</v>
      </c>
      <c r="H60" s="20">
        <f t="shared" si="5"/>
        <v>17.5</v>
      </c>
      <c r="I60" s="23">
        <f t="shared" si="11"/>
        <v>2933</v>
      </c>
      <c r="J60" s="23">
        <f t="shared" si="12"/>
        <v>3340</v>
      </c>
      <c r="K60" s="25">
        <f t="shared" si="6"/>
        <v>183</v>
      </c>
      <c r="L60" s="25">
        <f t="shared" si="7"/>
        <v>-224</v>
      </c>
      <c r="M60" s="20">
        <f t="shared" si="13"/>
        <v>179.08045977011494</v>
      </c>
      <c r="N60" s="20" t="str">
        <f t="shared" si="8"/>
        <v>Peste medie</v>
      </c>
    </row>
    <row r="61" spans="1:14" x14ac:dyDescent="0.3">
      <c r="A61" s="20" t="s">
        <v>0</v>
      </c>
      <c r="B61" s="20" t="s">
        <v>60</v>
      </c>
      <c r="C61" s="20" t="s">
        <v>2</v>
      </c>
      <c r="D61" s="23">
        <v>3179</v>
      </c>
      <c r="E61" s="20" t="str">
        <f t="shared" si="4"/>
        <v>2019</v>
      </c>
      <c r="F61" s="21">
        <f t="shared" si="9"/>
        <v>2.0218228498074454E-2</v>
      </c>
      <c r="G61" s="23">
        <f t="shared" si="10"/>
        <v>3098.5</v>
      </c>
      <c r="H61" s="20">
        <f t="shared" si="5"/>
        <v>80.5</v>
      </c>
      <c r="I61" s="23">
        <f t="shared" si="11"/>
        <v>2933</v>
      </c>
      <c r="J61" s="23">
        <f t="shared" si="12"/>
        <v>3340</v>
      </c>
      <c r="K61" s="25">
        <f t="shared" si="6"/>
        <v>246</v>
      </c>
      <c r="L61" s="25">
        <f t="shared" si="7"/>
        <v>-161</v>
      </c>
      <c r="M61" s="20">
        <f t="shared" si="13"/>
        <v>182.70114942528735</v>
      </c>
      <c r="N61" s="20" t="str">
        <f t="shared" si="8"/>
        <v>Peste medie</v>
      </c>
    </row>
    <row r="62" spans="1:14" x14ac:dyDescent="0.3">
      <c r="A62" s="20" t="s">
        <v>0</v>
      </c>
      <c r="B62" s="20" t="s">
        <v>61</v>
      </c>
      <c r="C62" s="20" t="s">
        <v>2</v>
      </c>
      <c r="D62" s="23">
        <v>3340</v>
      </c>
      <c r="E62" s="20" t="str">
        <f t="shared" si="4"/>
        <v>2019</v>
      </c>
      <c r="F62" s="21">
        <f t="shared" si="9"/>
        <v>5.0644856873230573E-2</v>
      </c>
      <c r="G62" s="23">
        <f t="shared" si="10"/>
        <v>3098.5</v>
      </c>
      <c r="H62" s="20">
        <f t="shared" si="5"/>
        <v>241.5</v>
      </c>
      <c r="I62" s="23">
        <f t="shared" si="11"/>
        <v>2933</v>
      </c>
      <c r="J62" s="23">
        <f t="shared" si="12"/>
        <v>3340</v>
      </c>
      <c r="K62" s="25">
        <f t="shared" si="6"/>
        <v>407</v>
      </c>
      <c r="L62" s="25">
        <f t="shared" si="7"/>
        <v>0</v>
      </c>
      <c r="M62" s="20">
        <f t="shared" si="13"/>
        <v>191.95402298850576</v>
      </c>
      <c r="N62" s="20" t="str">
        <f t="shared" si="8"/>
        <v>Peste medie</v>
      </c>
    </row>
    <row r="63" spans="1:14" x14ac:dyDescent="0.3">
      <c r="A63" s="20" t="s">
        <v>0</v>
      </c>
      <c r="B63" s="20" t="s">
        <v>62</v>
      </c>
      <c r="C63" s="20" t="s">
        <v>2</v>
      </c>
      <c r="D63" s="23">
        <v>3189</v>
      </c>
      <c r="E63" s="20" t="str">
        <f t="shared" si="4"/>
        <v>2020</v>
      </c>
      <c r="F63" s="21">
        <f t="shared" si="9"/>
        <v>-4.5209580838323354E-2</v>
      </c>
      <c r="G63" s="23">
        <f t="shared" si="10"/>
        <v>3307.1666666666665</v>
      </c>
      <c r="H63" s="27">
        <v>-16.2</v>
      </c>
      <c r="I63" s="23">
        <f t="shared" si="11"/>
        <v>3179</v>
      </c>
      <c r="J63" s="23">
        <f t="shared" si="12"/>
        <v>3620</v>
      </c>
      <c r="K63" s="25">
        <f t="shared" si="6"/>
        <v>10</v>
      </c>
      <c r="L63" s="25">
        <f t="shared" si="7"/>
        <v>-431</v>
      </c>
      <c r="M63" s="20">
        <f t="shared" si="13"/>
        <v>183.27586206896552</v>
      </c>
      <c r="N63" s="20" t="str">
        <f t="shared" si="8"/>
        <v>Sub medie</v>
      </c>
    </row>
    <row r="64" spans="1:14" x14ac:dyDescent="0.3">
      <c r="A64" s="20" t="s">
        <v>0</v>
      </c>
      <c r="B64" s="20" t="s">
        <v>63</v>
      </c>
      <c r="C64" s="20" t="s">
        <v>2</v>
      </c>
      <c r="D64" s="23">
        <v>3202</v>
      </c>
      <c r="E64" s="20" t="str">
        <f t="shared" si="4"/>
        <v>2020</v>
      </c>
      <c r="F64" s="21">
        <f t="shared" si="9"/>
        <v>4.0765130134838507E-3</v>
      </c>
      <c r="G64" s="23">
        <f t="shared" si="10"/>
        <v>3307.1666666666665</v>
      </c>
      <c r="H64" s="26">
        <f t="shared" si="5"/>
        <v>-105.16666666666652</v>
      </c>
      <c r="I64" s="23">
        <f t="shared" si="11"/>
        <v>3179</v>
      </c>
      <c r="J64" s="23">
        <f t="shared" si="12"/>
        <v>3620</v>
      </c>
      <c r="K64" s="25">
        <f t="shared" si="6"/>
        <v>23</v>
      </c>
      <c r="L64" s="25">
        <f t="shared" si="7"/>
        <v>-418</v>
      </c>
      <c r="M64" s="20">
        <f t="shared" si="13"/>
        <v>184.02298850574712</v>
      </c>
      <c r="N64" s="20" t="str">
        <f t="shared" si="8"/>
        <v>Sub medie</v>
      </c>
    </row>
    <row r="65" spans="1:14" x14ac:dyDescent="0.3">
      <c r="A65" s="20" t="s">
        <v>0</v>
      </c>
      <c r="B65" s="20" t="s">
        <v>64</v>
      </c>
      <c r="C65" s="20" t="s">
        <v>2</v>
      </c>
      <c r="D65" s="23">
        <v>3294</v>
      </c>
      <c r="E65" s="20" t="str">
        <f t="shared" si="4"/>
        <v>2020</v>
      </c>
      <c r="F65" s="21">
        <f t="shared" si="9"/>
        <v>2.8732042473454091E-2</v>
      </c>
      <c r="G65" s="23">
        <f t="shared" si="10"/>
        <v>3307.1666666666665</v>
      </c>
      <c r="H65" s="26">
        <f t="shared" si="5"/>
        <v>-13.166666666666515</v>
      </c>
      <c r="I65" s="23">
        <f t="shared" si="11"/>
        <v>3179</v>
      </c>
      <c r="J65" s="23">
        <f t="shared" si="12"/>
        <v>3620</v>
      </c>
      <c r="K65" s="25">
        <f t="shared" si="6"/>
        <v>115</v>
      </c>
      <c r="L65" s="25">
        <f t="shared" si="7"/>
        <v>-326</v>
      </c>
      <c r="M65" s="20">
        <f t="shared" si="13"/>
        <v>189.31034482758619</v>
      </c>
      <c r="N65" s="20" t="str">
        <f t="shared" si="8"/>
        <v>Sub medie</v>
      </c>
    </row>
    <row r="66" spans="1:14" x14ac:dyDescent="0.3">
      <c r="A66" s="20" t="s">
        <v>0</v>
      </c>
      <c r="B66" s="20" t="s">
        <v>65</v>
      </c>
      <c r="C66" s="20" t="s">
        <v>2</v>
      </c>
      <c r="D66" s="23">
        <v>3182</v>
      </c>
      <c r="E66" s="20" t="str">
        <f t="shared" si="4"/>
        <v>2020</v>
      </c>
      <c r="F66" s="21">
        <f t="shared" si="9"/>
        <v>-3.4001214329083179E-2</v>
      </c>
      <c r="G66" s="23">
        <f t="shared" si="10"/>
        <v>3307.1666666666665</v>
      </c>
      <c r="H66" s="26">
        <f t="shared" si="5"/>
        <v>-125.16666666666652</v>
      </c>
      <c r="I66" s="23">
        <f t="shared" si="11"/>
        <v>3179</v>
      </c>
      <c r="J66" s="23">
        <f t="shared" si="12"/>
        <v>3620</v>
      </c>
      <c r="K66" s="25">
        <f t="shared" si="6"/>
        <v>3</v>
      </c>
      <c r="L66" s="25">
        <f t="shared" si="7"/>
        <v>-438</v>
      </c>
      <c r="M66" s="20">
        <f t="shared" si="13"/>
        <v>182.87356321839081</v>
      </c>
      <c r="N66" s="20" t="str">
        <f t="shared" si="8"/>
        <v>Sub medie</v>
      </c>
    </row>
    <row r="67" spans="1:14" x14ac:dyDescent="0.3">
      <c r="A67" s="20" t="s">
        <v>0</v>
      </c>
      <c r="B67" s="20" t="s">
        <v>66</v>
      </c>
      <c r="C67" s="20" t="s">
        <v>2</v>
      </c>
      <c r="D67" s="23">
        <v>3179</v>
      </c>
      <c r="E67" s="20" t="str">
        <f t="shared" si="4"/>
        <v>2020</v>
      </c>
      <c r="F67" s="21">
        <f t="shared" si="9"/>
        <v>-9.4280326838466376E-4</v>
      </c>
      <c r="G67" s="23">
        <f t="shared" ref="G67:G98" si="14">SUMIF($E:$E,E67,$D:$D)/COUNTIF($E:$E,E67)</f>
        <v>3307.1666666666665</v>
      </c>
      <c r="H67" s="26">
        <f t="shared" si="5"/>
        <v>-128.16666666666652</v>
      </c>
      <c r="I67" s="23">
        <f t="shared" ref="I67:I98" si="15">_xlfn.MINIFS($D:$D, $E:$E,E67)</f>
        <v>3179</v>
      </c>
      <c r="J67" s="23">
        <f t="shared" ref="J67:J98" si="16">_xlfn.MAXIFS($D:$D,$E:$E,E67)</f>
        <v>3620</v>
      </c>
      <c r="K67" s="25">
        <f t="shared" si="6"/>
        <v>0</v>
      </c>
      <c r="L67" s="25">
        <f t="shared" si="7"/>
        <v>-441</v>
      </c>
      <c r="M67" s="20">
        <f t="shared" si="13"/>
        <v>182.70114942528735</v>
      </c>
      <c r="N67" s="20" t="str">
        <f t="shared" si="8"/>
        <v>Sub medie</v>
      </c>
    </row>
    <row r="68" spans="1:14" x14ac:dyDescent="0.3">
      <c r="A68" s="20" t="s">
        <v>0</v>
      </c>
      <c r="B68" s="20" t="s">
        <v>67</v>
      </c>
      <c r="C68" s="20" t="s">
        <v>2</v>
      </c>
      <c r="D68" s="23">
        <v>3298</v>
      </c>
      <c r="E68" s="20" t="str">
        <f t="shared" ref="E68:E131" si="17">RIGHT(B68,4)</f>
        <v>2020</v>
      </c>
      <c r="F68" s="21">
        <f t="shared" si="9"/>
        <v>3.7433155080213901E-2</v>
      </c>
      <c r="G68" s="23">
        <f t="shared" si="14"/>
        <v>3307.1666666666665</v>
      </c>
      <c r="H68" s="26">
        <f t="shared" ref="H68:H131" si="18">D68-G68</f>
        <v>-9.1666666666665151</v>
      </c>
      <c r="I68" s="23">
        <f t="shared" si="15"/>
        <v>3179</v>
      </c>
      <c r="J68" s="23">
        <f t="shared" si="16"/>
        <v>3620</v>
      </c>
      <c r="K68" s="25">
        <f t="shared" ref="K68:K131" si="19">D68-I68</f>
        <v>119</v>
      </c>
      <c r="L68" s="25">
        <f t="shared" ref="L68:L131" si="20">D68-J68</f>
        <v>-322</v>
      </c>
      <c r="M68" s="20">
        <f t="shared" ref="M68:M131" si="21">D68/$D$3*100</f>
        <v>189.54022988505747</v>
      </c>
      <c r="N68" s="20" t="str">
        <f t="shared" ref="N68:N131" si="22">IF(D68&gt;G68, "Peste medie", IF(D68&lt;G68, "Sub medie", "La medie"))</f>
        <v>Sub medie</v>
      </c>
    </row>
    <row r="69" spans="1:14" x14ac:dyDescent="0.3">
      <c r="A69" s="20" t="s">
        <v>0</v>
      </c>
      <c r="B69" s="20" t="s">
        <v>68</v>
      </c>
      <c r="C69" s="20" t="s">
        <v>2</v>
      </c>
      <c r="D69" s="23">
        <v>3372</v>
      </c>
      <c r="E69" s="20" t="str">
        <f t="shared" si="17"/>
        <v>2020</v>
      </c>
      <c r="F69" s="21">
        <f t="shared" ref="F69:F132" si="23">(D69-D68)/D68</f>
        <v>2.2437841115827774E-2</v>
      </c>
      <c r="G69" s="23">
        <f t="shared" si="14"/>
        <v>3307.1666666666665</v>
      </c>
      <c r="H69" s="26">
        <f t="shared" si="18"/>
        <v>64.833333333333485</v>
      </c>
      <c r="I69" s="23">
        <f t="shared" si="15"/>
        <v>3179</v>
      </c>
      <c r="J69" s="23">
        <f t="shared" si="16"/>
        <v>3620</v>
      </c>
      <c r="K69" s="25">
        <f t="shared" si="19"/>
        <v>193</v>
      </c>
      <c r="L69" s="25">
        <f t="shared" si="20"/>
        <v>-248</v>
      </c>
      <c r="M69" s="20">
        <f t="shared" si="21"/>
        <v>193.79310344827587</v>
      </c>
      <c r="N69" s="20" t="str">
        <f t="shared" si="22"/>
        <v>Peste medie</v>
      </c>
    </row>
    <row r="70" spans="1:14" x14ac:dyDescent="0.3">
      <c r="A70" s="20" t="s">
        <v>0</v>
      </c>
      <c r="B70" s="20" t="s">
        <v>69</v>
      </c>
      <c r="C70" s="20" t="s">
        <v>2</v>
      </c>
      <c r="D70" s="23">
        <v>3275</v>
      </c>
      <c r="E70" s="20" t="str">
        <f t="shared" si="17"/>
        <v>2020</v>
      </c>
      <c r="F70" s="21">
        <f t="shared" si="23"/>
        <v>-2.8766310794780547E-2</v>
      </c>
      <c r="G70" s="23">
        <f t="shared" si="14"/>
        <v>3307.1666666666665</v>
      </c>
      <c r="H70" s="26">
        <f t="shared" si="18"/>
        <v>-32.166666666666515</v>
      </c>
      <c r="I70" s="23">
        <f t="shared" si="15"/>
        <v>3179</v>
      </c>
      <c r="J70" s="23">
        <f t="shared" si="16"/>
        <v>3620</v>
      </c>
      <c r="K70" s="25">
        <f t="shared" si="19"/>
        <v>96</v>
      </c>
      <c r="L70" s="25">
        <f t="shared" si="20"/>
        <v>-345</v>
      </c>
      <c r="M70" s="20">
        <f t="shared" si="21"/>
        <v>188.2183908045977</v>
      </c>
      <c r="N70" s="20" t="str">
        <f t="shared" si="22"/>
        <v>Sub medie</v>
      </c>
    </row>
    <row r="71" spans="1:14" x14ac:dyDescent="0.3">
      <c r="A71" s="20" t="s">
        <v>0</v>
      </c>
      <c r="B71" s="20" t="s">
        <v>70</v>
      </c>
      <c r="C71" s="20" t="s">
        <v>2</v>
      </c>
      <c r="D71" s="23">
        <v>3321</v>
      </c>
      <c r="E71" s="20" t="str">
        <f t="shared" si="17"/>
        <v>2020</v>
      </c>
      <c r="F71" s="21">
        <f t="shared" si="23"/>
        <v>1.4045801526717557E-2</v>
      </c>
      <c r="G71" s="23">
        <f t="shared" si="14"/>
        <v>3307.1666666666665</v>
      </c>
      <c r="H71" s="26">
        <f t="shared" si="18"/>
        <v>13.833333333333485</v>
      </c>
      <c r="I71" s="23">
        <f t="shared" si="15"/>
        <v>3179</v>
      </c>
      <c r="J71" s="23">
        <f t="shared" si="16"/>
        <v>3620</v>
      </c>
      <c r="K71" s="25">
        <f t="shared" si="19"/>
        <v>142</v>
      </c>
      <c r="L71" s="25">
        <f t="shared" si="20"/>
        <v>-299</v>
      </c>
      <c r="M71" s="20">
        <f t="shared" si="21"/>
        <v>190.86206896551724</v>
      </c>
      <c r="N71" s="20" t="str">
        <f t="shared" si="22"/>
        <v>Peste medie</v>
      </c>
    </row>
    <row r="72" spans="1:14" x14ac:dyDescent="0.3">
      <c r="A72" s="20" t="s">
        <v>0</v>
      </c>
      <c r="B72" s="20" t="s">
        <v>71</v>
      </c>
      <c r="C72" s="20" t="s">
        <v>2</v>
      </c>
      <c r="D72" s="23">
        <v>3343</v>
      </c>
      <c r="E72" s="20" t="str">
        <f t="shared" si="17"/>
        <v>2020</v>
      </c>
      <c r="F72" s="21">
        <f t="shared" si="23"/>
        <v>6.6245106895513398E-3</v>
      </c>
      <c r="G72" s="23">
        <f t="shared" si="14"/>
        <v>3307.1666666666665</v>
      </c>
      <c r="H72" s="26">
        <f t="shared" si="18"/>
        <v>35.833333333333485</v>
      </c>
      <c r="I72" s="23">
        <f t="shared" si="15"/>
        <v>3179</v>
      </c>
      <c r="J72" s="23">
        <f t="shared" si="16"/>
        <v>3620</v>
      </c>
      <c r="K72" s="25">
        <f t="shared" si="19"/>
        <v>164</v>
      </c>
      <c r="L72" s="25">
        <f t="shared" si="20"/>
        <v>-277</v>
      </c>
      <c r="M72" s="20">
        <f t="shared" si="21"/>
        <v>192.12643678160919</v>
      </c>
      <c r="N72" s="20" t="str">
        <f t="shared" si="22"/>
        <v>Peste medie</v>
      </c>
    </row>
    <row r="73" spans="1:14" x14ac:dyDescent="0.3">
      <c r="A73" s="20" t="s">
        <v>0</v>
      </c>
      <c r="B73" s="20" t="s">
        <v>72</v>
      </c>
      <c r="C73" s="20" t="s">
        <v>2</v>
      </c>
      <c r="D73" s="23">
        <v>3411</v>
      </c>
      <c r="E73" s="20" t="str">
        <f t="shared" si="17"/>
        <v>2020</v>
      </c>
      <c r="F73" s="21">
        <f t="shared" si="23"/>
        <v>2.0341011067903082E-2</v>
      </c>
      <c r="G73" s="23">
        <f t="shared" si="14"/>
        <v>3307.1666666666665</v>
      </c>
      <c r="H73" s="26">
        <f t="shared" si="18"/>
        <v>103.83333333333348</v>
      </c>
      <c r="I73" s="23">
        <f t="shared" si="15"/>
        <v>3179</v>
      </c>
      <c r="J73" s="23">
        <f t="shared" si="16"/>
        <v>3620</v>
      </c>
      <c r="K73" s="25">
        <f t="shared" si="19"/>
        <v>232</v>
      </c>
      <c r="L73" s="25">
        <f t="shared" si="20"/>
        <v>-209</v>
      </c>
      <c r="M73" s="20">
        <f t="shared" si="21"/>
        <v>196.0344827586207</v>
      </c>
      <c r="N73" s="20" t="str">
        <f t="shared" si="22"/>
        <v>Peste medie</v>
      </c>
    </row>
    <row r="74" spans="1:14" x14ac:dyDescent="0.3">
      <c r="A74" s="20" t="s">
        <v>0</v>
      </c>
      <c r="B74" s="20" t="s">
        <v>73</v>
      </c>
      <c r="C74" s="20" t="s">
        <v>2</v>
      </c>
      <c r="D74" s="23">
        <v>3620</v>
      </c>
      <c r="E74" s="20" t="str">
        <f t="shared" si="17"/>
        <v>2020</v>
      </c>
      <c r="F74" s="21">
        <f t="shared" si="23"/>
        <v>6.1272354148343595E-2</v>
      </c>
      <c r="G74" s="23">
        <f t="shared" si="14"/>
        <v>3307.1666666666665</v>
      </c>
      <c r="H74" s="26">
        <f t="shared" si="18"/>
        <v>312.83333333333348</v>
      </c>
      <c r="I74" s="23">
        <f t="shared" si="15"/>
        <v>3179</v>
      </c>
      <c r="J74" s="23">
        <f t="shared" si="16"/>
        <v>3620</v>
      </c>
      <c r="K74" s="25">
        <f t="shared" si="19"/>
        <v>441</v>
      </c>
      <c r="L74" s="25">
        <f t="shared" si="20"/>
        <v>0</v>
      </c>
      <c r="M74" s="20">
        <f t="shared" si="21"/>
        <v>208.04597701149424</v>
      </c>
      <c r="N74" s="20" t="str">
        <f t="shared" si="22"/>
        <v>Peste medie</v>
      </c>
    </row>
    <row r="75" spans="1:14" x14ac:dyDescent="0.3">
      <c r="A75" s="20" t="s">
        <v>0</v>
      </c>
      <c r="B75" s="20" t="s">
        <v>74</v>
      </c>
      <c r="C75" s="20" t="s">
        <v>2</v>
      </c>
      <c r="D75" s="23">
        <v>3395</v>
      </c>
      <c r="E75" s="20" t="str">
        <f t="shared" si="17"/>
        <v>2021</v>
      </c>
      <c r="F75" s="21">
        <f t="shared" si="23"/>
        <v>-6.2154696132596686E-2</v>
      </c>
      <c r="G75" s="23">
        <f t="shared" si="14"/>
        <v>3543.1666666666665</v>
      </c>
      <c r="H75" s="26">
        <f t="shared" si="18"/>
        <v>-148.16666666666652</v>
      </c>
      <c r="I75" s="23">
        <f t="shared" si="15"/>
        <v>3365</v>
      </c>
      <c r="J75" s="23">
        <f t="shared" si="16"/>
        <v>3879</v>
      </c>
      <c r="K75" s="25">
        <f t="shared" si="19"/>
        <v>30</v>
      </c>
      <c r="L75" s="25">
        <f t="shared" si="20"/>
        <v>-484</v>
      </c>
      <c r="M75" s="20">
        <f t="shared" si="21"/>
        <v>195.11494252873561</v>
      </c>
      <c r="N75" s="20" t="str">
        <f t="shared" si="22"/>
        <v>Sub medie</v>
      </c>
    </row>
    <row r="76" spans="1:14" x14ac:dyDescent="0.3">
      <c r="A76" s="20" t="s">
        <v>0</v>
      </c>
      <c r="B76" s="20" t="s">
        <v>75</v>
      </c>
      <c r="C76" s="20" t="s">
        <v>2</v>
      </c>
      <c r="D76" s="23">
        <v>3365</v>
      </c>
      <c r="E76" s="20" t="str">
        <f t="shared" si="17"/>
        <v>2021</v>
      </c>
      <c r="F76" s="21">
        <f t="shared" si="23"/>
        <v>-8.836524300441826E-3</v>
      </c>
      <c r="G76" s="23">
        <f t="shared" si="14"/>
        <v>3543.1666666666665</v>
      </c>
      <c r="H76" s="26">
        <f t="shared" si="18"/>
        <v>-178.16666666666652</v>
      </c>
      <c r="I76" s="23">
        <f t="shared" si="15"/>
        <v>3365</v>
      </c>
      <c r="J76" s="23">
        <f t="shared" si="16"/>
        <v>3879</v>
      </c>
      <c r="K76" s="25">
        <f t="shared" si="19"/>
        <v>0</v>
      </c>
      <c r="L76" s="25">
        <f t="shared" si="20"/>
        <v>-514</v>
      </c>
      <c r="M76" s="20">
        <f t="shared" si="21"/>
        <v>193.39080459770116</v>
      </c>
      <c r="N76" s="20" t="str">
        <f t="shared" si="22"/>
        <v>Sub medie</v>
      </c>
    </row>
    <row r="77" spans="1:14" x14ac:dyDescent="0.3">
      <c r="A77" s="20" t="s">
        <v>0</v>
      </c>
      <c r="B77" s="20" t="s">
        <v>76</v>
      </c>
      <c r="C77" s="20" t="s">
        <v>2</v>
      </c>
      <c r="D77" s="23">
        <v>3547</v>
      </c>
      <c r="E77" s="20" t="str">
        <f t="shared" si="17"/>
        <v>2021</v>
      </c>
      <c r="F77" s="21">
        <f t="shared" si="23"/>
        <v>5.4086181277860329E-2</v>
      </c>
      <c r="G77" s="23">
        <f t="shared" si="14"/>
        <v>3543.1666666666665</v>
      </c>
      <c r="H77" s="26">
        <f t="shared" si="18"/>
        <v>3.8333333333334849</v>
      </c>
      <c r="I77" s="23">
        <f t="shared" si="15"/>
        <v>3365</v>
      </c>
      <c r="J77" s="23">
        <f t="shared" si="16"/>
        <v>3879</v>
      </c>
      <c r="K77" s="25">
        <f t="shared" si="19"/>
        <v>182</v>
      </c>
      <c r="L77" s="25">
        <f t="shared" si="20"/>
        <v>-332</v>
      </c>
      <c r="M77" s="20">
        <f t="shared" si="21"/>
        <v>203.85057471264369</v>
      </c>
      <c r="N77" s="20" t="str">
        <f t="shared" si="22"/>
        <v>Peste medie</v>
      </c>
    </row>
    <row r="78" spans="1:14" x14ac:dyDescent="0.3">
      <c r="A78" s="20" t="s">
        <v>0</v>
      </c>
      <c r="B78" s="20" t="s">
        <v>77</v>
      </c>
      <c r="C78" s="20" t="s">
        <v>2</v>
      </c>
      <c r="D78" s="23">
        <v>3561</v>
      </c>
      <c r="E78" s="20" t="str">
        <f t="shared" si="17"/>
        <v>2021</v>
      </c>
      <c r="F78" s="21">
        <f t="shared" si="23"/>
        <v>3.9469974626444885E-3</v>
      </c>
      <c r="G78" s="23">
        <f t="shared" si="14"/>
        <v>3543.1666666666665</v>
      </c>
      <c r="H78" s="26">
        <f t="shared" si="18"/>
        <v>17.833333333333485</v>
      </c>
      <c r="I78" s="23">
        <f t="shared" si="15"/>
        <v>3365</v>
      </c>
      <c r="J78" s="23">
        <f t="shared" si="16"/>
        <v>3879</v>
      </c>
      <c r="K78" s="25">
        <f t="shared" si="19"/>
        <v>196</v>
      </c>
      <c r="L78" s="25">
        <f t="shared" si="20"/>
        <v>-318</v>
      </c>
      <c r="M78" s="20">
        <f t="shared" si="21"/>
        <v>204.65517241379308</v>
      </c>
      <c r="N78" s="20" t="str">
        <f t="shared" si="22"/>
        <v>Peste medie</v>
      </c>
    </row>
    <row r="79" spans="1:14" x14ac:dyDescent="0.3">
      <c r="A79" s="20" t="s">
        <v>0</v>
      </c>
      <c r="B79" s="20" t="s">
        <v>78</v>
      </c>
      <c r="C79" s="20" t="s">
        <v>2</v>
      </c>
      <c r="D79" s="23">
        <v>3492</v>
      </c>
      <c r="E79" s="20" t="str">
        <f t="shared" si="17"/>
        <v>2021</v>
      </c>
      <c r="F79" s="21">
        <f t="shared" si="23"/>
        <v>-1.9376579612468407E-2</v>
      </c>
      <c r="G79" s="23">
        <f t="shared" si="14"/>
        <v>3543.1666666666665</v>
      </c>
      <c r="H79" s="26">
        <f t="shared" si="18"/>
        <v>-51.166666666666515</v>
      </c>
      <c r="I79" s="23">
        <f t="shared" si="15"/>
        <v>3365</v>
      </c>
      <c r="J79" s="23">
        <f t="shared" si="16"/>
        <v>3879</v>
      </c>
      <c r="K79" s="25">
        <f t="shared" si="19"/>
        <v>127</v>
      </c>
      <c r="L79" s="25">
        <f t="shared" si="20"/>
        <v>-387</v>
      </c>
      <c r="M79" s="20">
        <f t="shared" si="21"/>
        <v>200.68965517241378</v>
      </c>
      <c r="N79" s="20" t="str">
        <f t="shared" si="22"/>
        <v>Sub medie</v>
      </c>
    </row>
    <row r="80" spans="1:14" x14ac:dyDescent="0.3">
      <c r="A80" s="20" t="s">
        <v>0</v>
      </c>
      <c r="B80" s="20" t="s">
        <v>79</v>
      </c>
      <c r="C80" s="20" t="s">
        <v>2</v>
      </c>
      <c r="D80" s="23">
        <v>3541</v>
      </c>
      <c r="E80" s="20" t="str">
        <f t="shared" si="17"/>
        <v>2021</v>
      </c>
      <c r="F80" s="21">
        <f t="shared" si="23"/>
        <v>1.4032073310423826E-2</v>
      </c>
      <c r="G80" s="23">
        <f t="shared" si="14"/>
        <v>3543.1666666666665</v>
      </c>
      <c r="H80" s="26">
        <f t="shared" si="18"/>
        <v>-2.1666666666665151</v>
      </c>
      <c r="I80" s="23">
        <f t="shared" si="15"/>
        <v>3365</v>
      </c>
      <c r="J80" s="23">
        <f t="shared" si="16"/>
        <v>3879</v>
      </c>
      <c r="K80" s="25">
        <f t="shared" si="19"/>
        <v>176</v>
      </c>
      <c r="L80" s="25">
        <f t="shared" si="20"/>
        <v>-338</v>
      </c>
      <c r="M80" s="20">
        <f t="shared" si="21"/>
        <v>203.50574712643677</v>
      </c>
      <c r="N80" s="20" t="str">
        <f t="shared" si="22"/>
        <v>Sub medie</v>
      </c>
    </row>
    <row r="81" spans="1:14" x14ac:dyDescent="0.3">
      <c r="A81" s="20" t="s">
        <v>0</v>
      </c>
      <c r="B81" s="20" t="s">
        <v>80</v>
      </c>
      <c r="C81" s="20" t="s">
        <v>2</v>
      </c>
      <c r="D81" s="23">
        <v>3545</v>
      </c>
      <c r="E81" s="20" t="str">
        <f t="shared" si="17"/>
        <v>2021</v>
      </c>
      <c r="F81" s="21">
        <f t="shared" si="23"/>
        <v>1.1296243998870376E-3</v>
      </c>
      <c r="G81" s="23">
        <f t="shared" si="14"/>
        <v>3543.1666666666665</v>
      </c>
      <c r="H81" s="26">
        <f t="shared" si="18"/>
        <v>1.8333333333334849</v>
      </c>
      <c r="I81" s="23">
        <f t="shared" si="15"/>
        <v>3365</v>
      </c>
      <c r="J81" s="23">
        <f t="shared" si="16"/>
        <v>3879</v>
      </c>
      <c r="K81" s="25">
        <f t="shared" si="19"/>
        <v>180</v>
      </c>
      <c r="L81" s="25">
        <f t="shared" si="20"/>
        <v>-334</v>
      </c>
      <c r="M81" s="20">
        <f t="shared" si="21"/>
        <v>203.73563218390808</v>
      </c>
      <c r="N81" s="20" t="str">
        <f t="shared" si="22"/>
        <v>Peste medie</v>
      </c>
    </row>
    <row r="82" spans="1:14" x14ac:dyDescent="0.3">
      <c r="A82" s="20" t="s">
        <v>0</v>
      </c>
      <c r="B82" s="20" t="s">
        <v>81</v>
      </c>
      <c r="C82" s="20" t="s">
        <v>2</v>
      </c>
      <c r="D82" s="23">
        <v>3487</v>
      </c>
      <c r="E82" s="20" t="str">
        <f t="shared" si="17"/>
        <v>2021</v>
      </c>
      <c r="F82" s="21">
        <f t="shared" si="23"/>
        <v>-1.6361071932299014E-2</v>
      </c>
      <c r="G82" s="23">
        <f t="shared" si="14"/>
        <v>3543.1666666666665</v>
      </c>
      <c r="H82" s="26">
        <f t="shared" si="18"/>
        <v>-56.166666666666515</v>
      </c>
      <c r="I82" s="23">
        <f t="shared" si="15"/>
        <v>3365</v>
      </c>
      <c r="J82" s="23">
        <f t="shared" si="16"/>
        <v>3879</v>
      </c>
      <c r="K82" s="25">
        <f t="shared" si="19"/>
        <v>122</v>
      </c>
      <c r="L82" s="25">
        <f t="shared" si="20"/>
        <v>-392</v>
      </c>
      <c r="M82" s="20">
        <f t="shared" si="21"/>
        <v>200.40229885057471</v>
      </c>
      <c r="N82" s="20" t="str">
        <f t="shared" si="22"/>
        <v>Sub medie</v>
      </c>
    </row>
    <row r="83" spans="1:14" x14ac:dyDescent="0.3">
      <c r="A83" s="20" t="s">
        <v>0</v>
      </c>
      <c r="B83" s="20" t="s">
        <v>82</v>
      </c>
      <c r="C83" s="20" t="s">
        <v>2</v>
      </c>
      <c r="D83" s="23">
        <v>3517</v>
      </c>
      <c r="E83" s="20" t="str">
        <f t="shared" si="17"/>
        <v>2021</v>
      </c>
      <c r="F83" s="21">
        <f t="shared" si="23"/>
        <v>8.6033839977057644E-3</v>
      </c>
      <c r="G83" s="23">
        <f t="shared" si="14"/>
        <v>3543.1666666666665</v>
      </c>
      <c r="H83" s="26">
        <f t="shared" si="18"/>
        <v>-26.166666666666515</v>
      </c>
      <c r="I83" s="23">
        <f t="shared" si="15"/>
        <v>3365</v>
      </c>
      <c r="J83" s="23">
        <f t="shared" si="16"/>
        <v>3879</v>
      </c>
      <c r="K83" s="25">
        <f t="shared" si="19"/>
        <v>152</v>
      </c>
      <c r="L83" s="25">
        <f t="shared" si="20"/>
        <v>-362</v>
      </c>
      <c r="M83" s="20">
        <f t="shared" si="21"/>
        <v>202.12643678160919</v>
      </c>
      <c r="N83" s="20" t="str">
        <f t="shared" si="22"/>
        <v>Sub medie</v>
      </c>
    </row>
    <row r="84" spans="1:14" x14ac:dyDescent="0.3">
      <c r="A84" s="20" t="s">
        <v>0</v>
      </c>
      <c r="B84" s="20" t="s">
        <v>83</v>
      </c>
      <c r="C84" s="20" t="s">
        <v>2</v>
      </c>
      <c r="D84" s="23">
        <v>3544</v>
      </c>
      <c r="E84" s="20" t="str">
        <f t="shared" si="17"/>
        <v>2021</v>
      </c>
      <c r="F84" s="21">
        <f t="shared" si="23"/>
        <v>7.6769974410008527E-3</v>
      </c>
      <c r="G84" s="23">
        <f t="shared" si="14"/>
        <v>3543.1666666666665</v>
      </c>
      <c r="H84" s="26">
        <f t="shared" si="18"/>
        <v>0.83333333333348492</v>
      </c>
      <c r="I84" s="23">
        <f t="shared" si="15"/>
        <v>3365</v>
      </c>
      <c r="J84" s="23">
        <f t="shared" si="16"/>
        <v>3879</v>
      </c>
      <c r="K84" s="25">
        <f t="shared" si="19"/>
        <v>179</v>
      </c>
      <c r="L84" s="25">
        <f t="shared" si="20"/>
        <v>-335</v>
      </c>
      <c r="M84" s="20">
        <f t="shared" si="21"/>
        <v>203.67816091954026</v>
      </c>
      <c r="N84" s="20" t="str">
        <f t="shared" si="22"/>
        <v>Peste medie</v>
      </c>
    </row>
    <row r="85" spans="1:14" x14ac:dyDescent="0.3">
      <c r="A85" s="20" t="s">
        <v>0</v>
      </c>
      <c r="B85" s="20" t="s">
        <v>84</v>
      </c>
      <c r="C85" s="20" t="s">
        <v>2</v>
      </c>
      <c r="D85" s="23">
        <v>3645</v>
      </c>
      <c r="E85" s="20" t="str">
        <f t="shared" si="17"/>
        <v>2021</v>
      </c>
      <c r="F85" s="21">
        <f t="shared" si="23"/>
        <v>2.8498871331828442E-2</v>
      </c>
      <c r="G85" s="23">
        <f t="shared" si="14"/>
        <v>3543.1666666666665</v>
      </c>
      <c r="H85" s="26">
        <f t="shared" si="18"/>
        <v>101.83333333333348</v>
      </c>
      <c r="I85" s="23">
        <f t="shared" si="15"/>
        <v>3365</v>
      </c>
      <c r="J85" s="23">
        <f t="shared" si="16"/>
        <v>3879</v>
      </c>
      <c r="K85" s="25">
        <f t="shared" si="19"/>
        <v>280</v>
      </c>
      <c r="L85" s="25">
        <f t="shared" si="20"/>
        <v>-234</v>
      </c>
      <c r="M85" s="20">
        <f t="shared" si="21"/>
        <v>209.48275862068962</v>
      </c>
      <c r="N85" s="20" t="str">
        <f t="shared" si="22"/>
        <v>Peste medie</v>
      </c>
    </row>
    <row r="86" spans="1:14" x14ac:dyDescent="0.3">
      <c r="A86" s="20" t="s">
        <v>0</v>
      </c>
      <c r="B86" s="20" t="s">
        <v>85</v>
      </c>
      <c r="C86" s="20" t="s">
        <v>2</v>
      </c>
      <c r="D86" s="23">
        <v>3879</v>
      </c>
      <c r="E86" s="20" t="str">
        <f t="shared" si="17"/>
        <v>2021</v>
      </c>
      <c r="F86" s="21">
        <f t="shared" si="23"/>
        <v>6.4197530864197536E-2</v>
      </c>
      <c r="G86" s="23">
        <f t="shared" si="14"/>
        <v>3543.1666666666665</v>
      </c>
      <c r="H86" s="26">
        <f t="shared" si="18"/>
        <v>335.83333333333348</v>
      </c>
      <c r="I86" s="23">
        <f t="shared" si="15"/>
        <v>3365</v>
      </c>
      <c r="J86" s="23">
        <f t="shared" si="16"/>
        <v>3879</v>
      </c>
      <c r="K86" s="25">
        <f t="shared" si="19"/>
        <v>514</v>
      </c>
      <c r="L86" s="25">
        <f t="shared" si="20"/>
        <v>0</v>
      </c>
      <c r="M86" s="20">
        <f t="shared" si="21"/>
        <v>222.93103448275863</v>
      </c>
      <c r="N86" s="20" t="str">
        <f t="shared" si="22"/>
        <v>Peste medie</v>
      </c>
    </row>
    <row r="87" spans="1:14" x14ac:dyDescent="0.3">
      <c r="A87" s="20" t="s">
        <v>0</v>
      </c>
      <c r="B87" s="20" t="s">
        <v>86</v>
      </c>
      <c r="C87" s="20" t="s">
        <v>2</v>
      </c>
      <c r="D87" s="23">
        <v>3698</v>
      </c>
      <c r="E87" s="20" t="str">
        <f t="shared" si="17"/>
        <v>2022</v>
      </c>
      <c r="F87" s="21">
        <f t="shared" si="23"/>
        <v>-4.6661510698633668E-2</v>
      </c>
      <c r="G87" s="23">
        <f t="shared" si="14"/>
        <v>3973.8333333333335</v>
      </c>
      <c r="H87" s="26">
        <f t="shared" si="18"/>
        <v>-275.83333333333348</v>
      </c>
      <c r="I87" s="23">
        <f t="shared" si="15"/>
        <v>3698</v>
      </c>
      <c r="J87" s="23">
        <f t="shared" si="16"/>
        <v>4398</v>
      </c>
      <c r="K87" s="25">
        <f t="shared" si="19"/>
        <v>0</v>
      </c>
      <c r="L87" s="25">
        <f t="shared" si="20"/>
        <v>-700</v>
      </c>
      <c r="M87" s="20">
        <f t="shared" si="21"/>
        <v>212.52873563218392</v>
      </c>
      <c r="N87" s="20" t="str">
        <f t="shared" si="22"/>
        <v>Sub medie</v>
      </c>
    </row>
    <row r="88" spans="1:14" x14ac:dyDescent="0.3">
      <c r="A88" s="20" t="s">
        <v>0</v>
      </c>
      <c r="B88" s="20" t="s">
        <v>87</v>
      </c>
      <c r="C88" s="20" t="s">
        <v>2</v>
      </c>
      <c r="D88" s="23">
        <v>3721</v>
      </c>
      <c r="E88" s="20" t="str">
        <f t="shared" si="17"/>
        <v>2022</v>
      </c>
      <c r="F88" s="21">
        <f t="shared" si="23"/>
        <v>6.219578150351541E-3</v>
      </c>
      <c r="G88" s="23">
        <f t="shared" si="14"/>
        <v>3973.8333333333335</v>
      </c>
      <c r="H88" s="26">
        <f t="shared" si="18"/>
        <v>-252.83333333333348</v>
      </c>
      <c r="I88" s="23">
        <f t="shared" si="15"/>
        <v>3698</v>
      </c>
      <c r="J88" s="23">
        <f t="shared" si="16"/>
        <v>4398</v>
      </c>
      <c r="K88" s="25">
        <f t="shared" si="19"/>
        <v>23</v>
      </c>
      <c r="L88" s="25">
        <f t="shared" si="20"/>
        <v>-677</v>
      </c>
      <c r="M88" s="20">
        <f t="shared" si="21"/>
        <v>213.85057471264366</v>
      </c>
      <c r="N88" s="20" t="str">
        <f t="shared" si="22"/>
        <v>Sub medie</v>
      </c>
    </row>
    <row r="89" spans="1:14" x14ac:dyDescent="0.3">
      <c r="A89" s="20" t="s">
        <v>0</v>
      </c>
      <c r="B89" s="20" t="s">
        <v>88</v>
      </c>
      <c r="C89" s="20" t="s">
        <v>2</v>
      </c>
      <c r="D89" s="23">
        <v>3937</v>
      </c>
      <c r="E89" s="20" t="str">
        <f t="shared" si="17"/>
        <v>2022</v>
      </c>
      <c r="F89" s="21">
        <f t="shared" si="23"/>
        <v>5.8048911582907821E-2</v>
      </c>
      <c r="G89" s="23">
        <f t="shared" si="14"/>
        <v>3973.8333333333335</v>
      </c>
      <c r="H89" s="26">
        <f t="shared" si="18"/>
        <v>-36.833333333333485</v>
      </c>
      <c r="I89" s="23">
        <f t="shared" si="15"/>
        <v>3698</v>
      </c>
      <c r="J89" s="23">
        <f t="shared" si="16"/>
        <v>4398</v>
      </c>
      <c r="K89" s="25">
        <f t="shared" si="19"/>
        <v>239</v>
      </c>
      <c r="L89" s="25">
        <f t="shared" si="20"/>
        <v>-461</v>
      </c>
      <c r="M89" s="20">
        <f t="shared" si="21"/>
        <v>226.26436781609195</v>
      </c>
      <c r="N89" s="20" t="str">
        <f t="shared" si="22"/>
        <v>Sub medie</v>
      </c>
    </row>
    <row r="90" spans="1:14" x14ac:dyDescent="0.3">
      <c r="A90" s="20" t="s">
        <v>0</v>
      </c>
      <c r="B90" s="20" t="s">
        <v>89</v>
      </c>
      <c r="C90" s="20" t="s">
        <v>2</v>
      </c>
      <c r="D90" s="23">
        <v>3967</v>
      </c>
      <c r="E90" s="20" t="str">
        <f t="shared" si="17"/>
        <v>2022</v>
      </c>
      <c r="F90" s="21">
        <f t="shared" si="23"/>
        <v>7.6200152400304798E-3</v>
      </c>
      <c r="G90" s="23">
        <f t="shared" si="14"/>
        <v>3973.8333333333335</v>
      </c>
      <c r="H90" s="26">
        <f t="shared" si="18"/>
        <v>-6.8333333333334849</v>
      </c>
      <c r="I90" s="23">
        <f t="shared" si="15"/>
        <v>3698</v>
      </c>
      <c r="J90" s="23">
        <f t="shared" si="16"/>
        <v>4398</v>
      </c>
      <c r="K90" s="25">
        <f t="shared" si="19"/>
        <v>269</v>
      </c>
      <c r="L90" s="25">
        <f t="shared" si="20"/>
        <v>-431</v>
      </c>
      <c r="M90" s="20">
        <f t="shared" si="21"/>
        <v>227.98850574712642</v>
      </c>
      <c r="N90" s="20" t="str">
        <f t="shared" si="22"/>
        <v>Sub medie</v>
      </c>
    </row>
    <row r="91" spans="1:14" x14ac:dyDescent="0.3">
      <c r="A91" s="20" t="s">
        <v>0</v>
      </c>
      <c r="B91" s="20" t="s">
        <v>90</v>
      </c>
      <c r="C91" s="20" t="s">
        <v>2</v>
      </c>
      <c r="D91" s="23">
        <v>3928</v>
      </c>
      <c r="E91" s="20" t="str">
        <f t="shared" si="17"/>
        <v>2022</v>
      </c>
      <c r="F91" s="21">
        <f t="shared" si="23"/>
        <v>-9.8311066296949828E-3</v>
      </c>
      <c r="G91" s="23">
        <f t="shared" si="14"/>
        <v>3973.8333333333335</v>
      </c>
      <c r="H91" s="26">
        <f t="shared" si="18"/>
        <v>-45.833333333333485</v>
      </c>
      <c r="I91" s="23">
        <f t="shared" si="15"/>
        <v>3698</v>
      </c>
      <c r="J91" s="23">
        <f t="shared" si="16"/>
        <v>4398</v>
      </c>
      <c r="K91" s="25">
        <f t="shared" si="19"/>
        <v>230</v>
      </c>
      <c r="L91" s="25">
        <f t="shared" si="20"/>
        <v>-470</v>
      </c>
      <c r="M91" s="20">
        <f t="shared" si="21"/>
        <v>225.74712643678163</v>
      </c>
      <c r="N91" s="20" t="str">
        <f t="shared" si="22"/>
        <v>Sub medie</v>
      </c>
    </row>
    <row r="92" spans="1:14" x14ac:dyDescent="0.3">
      <c r="A92" s="20" t="s">
        <v>0</v>
      </c>
      <c r="B92" s="20" t="s">
        <v>91</v>
      </c>
      <c r="C92" s="20" t="s">
        <v>2</v>
      </c>
      <c r="D92" s="23">
        <v>3977</v>
      </c>
      <c r="E92" s="20" t="str">
        <f t="shared" si="17"/>
        <v>2022</v>
      </c>
      <c r="F92" s="21">
        <f t="shared" si="23"/>
        <v>1.2474541751527495E-2</v>
      </c>
      <c r="G92" s="23">
        <f t="shared" si="14"/>
        <v>3973.8333333333335</v>
      </c>
      <c r="H92" s="26">
        <f t="shared" si="18"/>
        <v>3.1666666666665151</v>
      </c>
      <c r="I92" s="23">
        <f t="shared" si="15"/>
        <v>3698</v>
      </c>
      <c r="J92" s="23">
        <f t="shared" si="16"/>
        <v>4398</v>
      </c>
      <c r="K92" s="25">
        <f t="shared" si="19"/>
        <v>279</v>
      </c>
      <c r="L92" s="25">
        <f t="shared" si="20"/>
        <v>-421</v>
      </c>
      <c r="M92" s="20">
        <f t="shared" si="21"/>
        <v>228.56321839080459</v>
      </c>
      <c r="N92" s="20" t="str">
        <f t="shared" si="22"/>
        <v>Peste medie</v>
      </c>
    </row>
    <row r="93" spans="1:14" x14ac:dyDescent="0.3">
      <c r="A93" s="20" t="s">
        <v>0</v>
      </c>
      <c r="B93" s="20" t="s">
        <v>92</v>
      </c>
      <c r="C93" s="20" t="s">
        <v>2</v>
      </c>
      <c r="D93" s="23">
        <v>3975</v>
      </c>
      <c r="E93" s="20" t="str">
        <f t="shared" si="17"/>
        <v>2022</v>
      </c>
      <c r="F93" s="21">
        <f t="shared" si="23"/>
        <v>-5.0289162685441288E-4</v>
      </c>
      <c r="G93" s="23">
        <f t="shared" si="14"/>
        <v>3973.8333333333335</v>
      </c>
      <c r="H93" s="26">
        <f t="shared" si="18"/>
        <v>1.1666666666665151</v>
      </c>
      <c r="I93" s="23">
        <f t="shared" si="15"/>
        <v>3698</v>
      </c>
      <c r="J93" s="23">
        <f t="shared" si="16"/>
        <v>4398</v>
      </c>
      <c r="K93" s="25">
        <f t="shared" si="19"/>
        <v>277</v>
      </c>
      <c r="L93" s="25">
        <f t="shared" si="20"/>
        <v>-423</v>
      </c>
      <c r="M93" s="20">
        <f t="shared" si="21"/>
        <v>228.44827586206895</v>
      </c>
      <c r="N93" s="20" t="str">
        <f t="shared" si="22"/>
        <v>Peste medie</v>
      </c>
    </row>
    <row r="94" spans="1:14" x14ac:dyDescent="0.3">
      <c r="A94" s="20" t="s">
        <v>0</v>
      </c>
      <c r="B94" s="20" t="s">
        <v>93</v>
      </c>
      <c r="C94" s="20" t="s">
        <v>2</v>
      </c>
      <c r="D94" s="23">
        <v>3933</v>
      </c>
      <c r="E94" s="20" t="str">
        <f t="shared" si="17"/>
        <v>2022</v>
      </c>
      <c r="F94" s="21">
        <f t="shared" si="23"/>
        <v>-1.0566037735849057E-2</v>
      </c>
      <c r="G94" s="23">
        <f t="shared" si="14"/>
        <v>3973.8333333333335</v>
      </c>
      <c r="H94" s="26">
        <f t="shared" si="18"/>
        <v>-40.833333333333485</v>
      </c>
      <c r="I94" s="23">
        <f t="shared" si="15"/>
        <v>3698</v>
      </c>
      <c r="J94" s="23">
        <f t="shared" si="16"/>
        <v>4398</v>
      </c>
      <c r="K94" s="25">
        <f t="shared" si="19"/>
        <v>235</v>
      </c>
      <c r="L94" s="25">
        <f t="shared" si="20"/>
        <v>-465</v>
      </c>
      <c r="M94" s="20">
        <f t="shared" si="21"/>
        <v>226.0344827586207</v>
      </c>
      <c r="N94" s="20" t="str">
        <f t="shared" si="22"/>
        <v>Sub medie</v>
      </c>
    </row>
    <row r="95" spans="1:14" x14ac:dyDescent="0.3">
      <c r="A95" s="20" t="s">
        <v>0</v>
      </c>
      <c r="B95" s="20" t="s">
        <v>94</v>
      </c>
      <c r="C95" s="20" t="s">
        <v>2</v>
      </c>
      <c r="D95" s="23">
        <v>4003</v>
      </c>
      <c r="E95" s="20" t="str">
        <f t="shared" si="17"/>
        <v>2022</v>
      </c>
      <c r="F95" s="21">
        <f t="shared" si="23"/>
        <v>1.7798118484617341E-2</v>
      </c>
      <c r="G95" s="23">
        <f t="shared" si="14"/>
        <v>3973.8333333333335</v>
      </c>
      <c r="H95" s="26">
        <f t="shared" si="18"/>
        <v>29.166666666666515</v>
      </c>
      <c r="I95" s="23">
        <f t="shared" si="15"/>
        <v>3698</v>
      </c>
      <c r="J95" s="23">
        <f t="shared" si="16"/>
        <v>4398</v>
      </c>
      <c r="K95" s="25">
        <f t="shared" si="19"/>
        <v>305</v>
      </c>
      <c r="L95" s="25">
        <f t="shared" si="20"/>
        <v>-395</v>
      </c>
      <c r="M95" s="20">
        <f t="shared" si="21"/>
        <v>230.05747126436779</v>
      </c>
      <c r="N95" s="20" t="str">
        <f t="shared" si="22"/>
        <v>Peste medie</v>
      </c>
    </row>
    <row r="96" spans="1:14" x14ac:dyDescent="0.3">
      <c r="A96" s="20" t="s">
        <v>0</v>
      </c>
      <c r="B96" s="20" t="s">
        <v>95</v>
      </c>
      <c r="C96" s="20" t="s">
        <v>2</v>
      </c>
      <c r="D96" s="23">
        <v>4008</v>
      </c>
      <c r="E96" s="20" t="str">
        <f t="shared" si="17"/>
        <v>2022</v>
      </c>
      <c r="F96" s="21">
        <f t="shared" si="23"/>
        <v>1.2490632025980515E-3</v>
      </c>
      <c r="G96" s="23">
        <f t="shared" si="14"/>
        <v>3973.8333333333335</v>
      </c>
      <c r="H96" s="26">
        <f t="shared" si="18"/>
        <v>34.166666666666515</v>
      </c>
      <c r="I96" s="23">
        <f t="shared" si="15"/>
        <v>3698</v>
      </c>
      <c r="J96" s="23">
        <f t="shared" si="16"/>
        <v>4398</v>
      </c>
      <c r="K96" s="25">
        <f t="shared" si="19"/>
        <v>310</v>
      </c>
      <c r="L96" s="25">
        <f t="shared" si="20"/>
        <v>-390</v>
      </c>
      <c r="M96" s="20">
        <f t="shared" si="21"/>
        <v>230.34482758620692</v>
      </c>
      <c r="N96" s="20" t="str">
        <f t="shared" si="22"/>
        <v>Peste medie</v>
      </c>
    </row>
    <row r="97" spans="1:14" x14ac:dyDescent="0.3">
      <c r="A97" s="20" t="s">
        <v>0</v>
      </c>
      <c r="B97" s="20" t="s">
        <v>96</v>
      </c>
      <c r="C97" s="20" t="s">
        <v>2</v>
      </c>
      <c r="D97" s="23">
        <v>4141</v>
      </c>
      <c r="E97" s="20" t="str">
        <f t="shared" si="17"/>
        <v>2022</v>
      </c>
      <c r="F97" s="21">
        <f t="shared" si="23"/>
        <v>3.3183632734530941E-2</v>
      </c>
      <c r="G97" s="23">
        <f t="shared" si="14"/>
        <v>3973.8333333333335</v>
      </c>
      <c r="H97" s="26">
        <f t="shared" si="18"/>
        <v>167.16666666666652</v>
      </c>
      <c r="I97" s="23">
        <f t="shared" si="15"/>
        <v>3698</v>
      </c>
      <c r="J97" s="23">
        <f t="shared" si="16"/>
        <v>4398</v>
      </c>
      <c r="K97" s="25">
        <f t="shared" si="19"/>
        <v>443</v>
      </c>
      <c r="L97" s="25">
        <f t="shared" si="20"/>
        <v>-257</v>
      </c>
      <c r="M97" s="20">
        <f t="shared" si="21"/>
        <v>237.98850574712645</v>
      </c>
      <c r="N97" s="20" t="str">
        <f t="shared" si="22"/>
        <v>Peste medie</v>
      </c>
    </row>
    <row r="98" spans="1:14" x14ac:dyDescent="0.3">
      <c r="A98" s="20" t="s">
        <v>0</v>
      </c>
      <c r="B98" s="20" t="s">
        <v>97</v>
      </c>
      <c r="C98" s="20" t="s">
        <v>2</v>
      </c>
      <c r="D98" s="23">
        <v>4398</v>
      </c>
      <c r="E98" s="20" t="str">
        <f t="shared" si="17"/>
        <v>2022</v>
      </c>
      <c r="F98" s="21">
        <f t="shared" si="23"/>
        <v>6.2062303791354745E-2</v>
      </c>
      <c r="G98" s="23">
        <f t="shared" si="14"/>
        <v>3973.8333333333335</v>
      </c>
      <c r="H98" s="26">
        <f t="shared" si="18"/>
        <v>424.16666666666652</v>
      </c>
      <c r="I98" s="23">
        <f t="shared" si="15"/>
        <v>3698</v>
      </c>
      <c r="J98" s="23">
        <f t="shared" si="16"/>
        <v>4398</v>
      </c>
      <c r="K98" s="25">
        <f t="shared" si="19"/>
        <v>700</v>
      </c>
      <c r="L98" s="25">
        <f t="shared" si="20"/>
        <v>0</v>
      </c>
      <c r="M98" s="20">
        <f t="shared" si="21"/>
        <v>252.75862068965517</v>
      </c>
      <c r="N98" s="20" t="str">
        <f t="shared" si="22"/>
        <v>Peste medie</v>
      </c>
    </row>
    <row r="99" spans="1:14" x14ac:dyDescent="0.3">
      <c r="A99" s="20" t="s">
        <v>0</v>
      </c>
      <c r="B99" s="20" t="s">
        <v>98</v>
      </c>
      <c r="C99" s="20" t="s">
        <v>2</v>
      </c>
      <c r="D99" s="23">
        <v>4254</v>
      </c>
      <c r="E99" s="20" t="str">
        <f t="shared" si="17"/>
        <v>2023</v>
      </c>
      <c r="F99" s="21">
        <f t="shared" si="23"/>
        <v>-3.2742155525238743E-2</v>
      </c>
      <c r="G99" s="23">
        <f t="shared" ref="G99:G134" si="24">SUMIF($E:$E,E99,$D:$D)/COUNTIF($E:$E,E99)</f>
        <v>4584.166666666667</v>
      </c>
      <c r="H99" s="26">
        <f t="shared" si="18"/>
        <v>-330.16666666666697</v>
      </c>
      <c r="I99" s="23">
        <f t="shared" ref="I99:I134" si="25">_xlfn.MINIFS($D:$D, $E:$E,E99)</f>
        <v>4254</v>
      </c>
      <c r="J99" s="23">
        <f t="shared" ref="J99:J134" si="26">_xlfn.MAXIFS($D:$D,$E:$E,E99)</f>
        <v>5079</v>
      </c>
      <c r="K99" s="25">
        <f t="shared" si="19"/>
        <v>0</v>
      </c>
      <c r="L99" s="25">
        <f t="shared" si="20"/>
        <v>-825</v>
      </c>
      <c r="M99" s="20">
        <f t="shared" si="21"/>
        <v>244.48275862068965</v>
      </c>
      <c r="N99" s="20" t="str">
        <f t="shared" si="22"/>
        <v>Sub medie</v>
      </c>
    </row>
    <row r="100" spans="1:14" x14ac:dyDescent="0.3">
      <c r="A100" s="20" t="s">
        <v>0</v>
      </c>
      <c r="B100" s="20" t="s">
        <v>99</v>
      </c>
      <c r="C100" s="20" t="s">
        <v>2</v>
      </c>
      <c r="D100" s="23">
        <v>4270</v>
      </c>
      <c r="E100" s="20" t="str">
        <f t="shared" si="17"/>
        <v>2023</v>
      </c>
      <c r="F100" s="21">
        <f t="shared" si="23"/>
        <v>3.7611659614480487E-3</v>
      </c>
      <c r="G100" s="23">
        <f t="shared" si="24"/>
        <v>4584.166666666667</v>
      </c>
      <c r="H100" s="26">
        <f t="shared" si="18"/>
        <v>-314.16666666666697</v>
      </c>
      <c r="I100" s="23">
        <f t="shared" si="25"/>
        <v>4254</v>
      </c>
      <c r="J100" s="23">
        <f t="shared" si="26"/>
        <v>5079</v>
      </c>
      <c r="K100" s="25">
        <f t="shared" si="19"/>
        <v>16</v>
      </c>
      <c r="L100" s="25">
        <f t="shared" si="20"/>
        <v>-809</v>
      </c>
      <c r="M100" s="20">
        <f t="shared" si="21"/>
        <v>245.40229885057471</v>
      </c>
      <c r="N100" s="20" t="str">
        <f t="shared" si="22"/>
        <v>Sub medie</v>
      </c>
    </row>
    <row r="101" spans="1:14" x14ac:dyDescent="0.3">
      <c r="A101" s="20" t="s">
        <v>0</v>
      </c>
      <c r="B101" s="20" t="s">
        <v>100</v>
      </c>
      <c r="C101" s="20" t="s">
        <v>2</v>
      </c>
      <c r="D101" s="23">
        <v>4554</v>
      </c>
      <c r="E101" s="20" t="str">
        <f t="shared" si="17"/>
        <v>2023</v>
      </c>
      <c r="F101" s="21">
        <f t="shared" si="23"/>
        <v>6.6510538641686184E-2</v>
      </c>
      <c r="G101" s="23">
        <f t="shared" si="24"/>
        <v>4584.166666666667</v>
      </c>
      <c r="H101" s="26">
        <f t="shared" si="18"/>
        <v>-30.16666666666697</v>
      </c>
      <c r="I101" s="23">
        <f t="shared" si="25"/>
        <v>4254</v>
      </c>
      <c r="J101" s="23">
        <f t="shared" si="26"/>
        <v>5079</v>
      </c>
      <c r="K101" s="25">
        <f t="shared" si="19"/>
        <v>300</v>
      </c>
      <c r="L101" s="25">
        <f t="shared" si="20"/>
        <v>-525</v>
      </c>
      <c r="M101" s="20">
        <f t="shared" si="21"/>
        <v>261.72413793103448</v>
      </c>
      <c r="N101" s="20" t="str">
        <f t="shared" si="22"/>
        <v>Sub medie</v>
      </c>
    </row>
    <row r="102" spans="1:14" x14ac:dyDescent="0.3">
      <c r="A102" s="20" t="s">
        <v>0</v>
      </c>
      <c r="B102" s="20" t="s">
        <v>101</v>
      </c>
      <c r="C102" s="20" t="s">
        <v>2</v>
      </c>
      <c r="D102" s="23">
        <v>4564</v>
      </c>
      <c r="E102" s="20" t="str">
        <f t="shared" si="17"/>
        <v>2023</v>
      </c>
      <c r="F102" s="21">
        <f t="shared" si="23"/>
        <v>2.1958717610891525E-3</v>
      </c>
      <c r="G102" s="23">
        <f t="shared" si="24"/>
        <v>4584.166666666667</v>
      </c>
      <c r="H102" s="26">
        <f t="shared" si="18"/>
        <v>-20.16666666666697</v>
      </c>
      <c r="I102" s="23">
        <f t="shared" si="25"/>
        <v>4254</v>
      </c>
      <c r="J102" s="23">
        <f t="shared" si="26"/>
        <v>5079</v>
      </c>
      <c r="K102" s="25">
        <f t="shared" si="19"/>
        <v>310</v>
      </c>
      <c r="L102" s="25">
        <f t="shared" si="20"/>
        <v>-515</v>
      </c>
      <c r="M102" s="20">
        <f t="shared" si="21"/>
        <v>262.29885057471262</v>
      </c>
      <c r="N102" s="20" t="str">
        <f t="shared" si="22"/>
        <v>Sub medie</v>
      </c>
    </row>
    <row r="103" spans="1:14" x14ac:dyDescent="0.3">
      <c r="A103" s="20" t="s">
        <v>0</v>
      </c>
      <c r="B103" s="20" t="s">
        <v>102</v>
      </c>
      <c r="C103" s="20" t="s">
        <v>2</v>
      </c>
      <c r="D103" s="23">
        <v>4543</v>
      </c>
      <c r="E103" s="20" t="str">
        <f t="shared" si="17"/>
        <v>2023</v>
      </c>
      <c r="F103" s="21">
        <f t="shared" si="23"/>
        <v>-4.601226993865031E-3</v>
      </c>
      <c r="G103" s="23">
        <f t="shared" si="24"/>
        <v>4584.166666666667</v>
      </c>
      <c r="H103" s="26">
        <f t="shared" si="18"/>
        <v>-41.16666666666697</v>
      </c>
      <c r="I103" s="23">
        <f t="shared" si="25"/>
        <v>4254</v>
      </c>
      <c r="J103" s="23">
        <f t="shared" si="26"/>
        <v>5079</v>
      </c>
      <c r="K103" s="25">
        <f t="shared" si="19"/>
        <v>289</v>
      </c>
      <c r="L103" s="25">
        <f t="shared" si="20"/>
        <v>-536</v>
      </c>
      <c r="M103" s="20">
        <f t="shared" si="21"/>
        <v>261.09195402298855</v>
      </c>
      <c r="N103" s="20" t="str">
        <f t="shared" si="22"/>
        <v>Sub medie</v>
      </c>
    </row>
    <row r="104" spans="1:14" x14ac:dyDescent="0.3">
      <c r="A104" s="20" t="s">
        <v>0</v>
      </c>
      <c r="B104" s="20" t="s">
        <v>103</v>
      </c>
      <c r="C104" s="20" t="s">
        <v>2</v>
      </c>
      <c r="D104" s="23">
        <v>4600</v>
      </c>
      <c r="E104" s="20" t="str">
        <f t="shared" si="17"/>
        <v>2023</v>
      </c>
      <c r="F104" s="21">
        <f t="shared" si="23"/>
        <v>1.2546775258639665E-2</v>
      </c>
      <c r="G104" s="23">
        <f t="shared" si="24"/>
        <v>4584.166666666667</v>
      </c>
      <c r="H104" s="26">
        <f t="shared" si="18"/>
        <v>15.83333333333303</v>
      </c>
      <c r="I104" s="23">
        <f t="shared" si="25"/>
        <v>4254</v>
      </c>
      <c r="J104" s="23">
        <f t="shared" si="26"/>
        <v>5079</v>
      </c>
      <c r="K104" s="25">
        <f t="shared" si="19"/>
        <v>346</v>
      </c>
      <c r="L104" s="25">
        <f t="shared" si="20"/>
        <v>-479</v>
      </c>
      <c r="M104" s="20">
        <f t="shared" si="21"/>
        <v>264.36781609195401</v>
      </c>
      <c r="N104" s="20" t="str">
        <f t="shared" si="22"/>
        <v>Peste medie</v>
      </c>
    </row>
    <row r="105" spans="1:14" x14ac:dyDescent="0.3">
      <c r="A105" s="20" t="s">
        <v>0</v>
      </c>
      <c r="B105" s="20" t="s">
        <v>104</v>
      </c>
      <c r="C105" s="20" t="s">
        <v>2</v>
      </c>
      <c r="D105" s="23">
        <v>4565</v>
      </c>
      <c r="E105" s="20" t="str">
        <f t="shared" si="17"/>
        <v>2023</v>
      </c>
      <c r="F105" s="21">
        <f t="shared" si="23"/>
        <v>-7.6086956521739134E-3</v>
      </c>
      <c r="G105" s="23">
        <f t="shared" si="24"/>
        <v>4584.166666666667</v>
      </c>
      <c r="H105" s="26">
        <f t="shared" si="18"/>
        <v>-19.16666666666697</v>
      </c>
      <c r="I105" s="23">
        <f t="shared" si="25"/>
        <v>4254</v>
      </c>
      <c r="J105" s="23">
        <f t="shared" si="26"/>
        <v>5079</v>
      </c>
      <c r="K105" s="25">
        <f t="shared" si="19"/>
        <v>311</v>
      </c>
      <c r="L105" s="25">
        <f t="shared" si="20"/>
        <v>-514</v>
      </c>
      <c r="M105" s="20">
        <f t="shared" si="21"/>
        <v>262.35632183908046</v>
      </c>
      <c r="N105" s="20" t="str">
        <f t="shared" si="22"/>
        <v>Sub medie</v>
      </c>
    </row>
    <row r="106" spans="1:14" x14ac:dyDescent="0.3">
      <c r="A106" s="20" t="s">
        <v>0</v>
      </c>
      <c r="B106" s="20" t="s">
        <v>105</v>
      </c>
      <c r="C106" s="20" t="s">
        <v>2</v>
      </c>
      <c r="D106" s="23">
        <v>4531</v>
      </c>
      <c r="E106" s="20" t="str">
        <f t="shared" si="17"/>
        <v>2023</v>
      </c>
      <c r="F106" s="21">
        <f t="shared" si="23"/>
        <v>-7.447973713033954E-3</v>
      </c>
      <c r="G106" s="23">
        <f t="shared" si="24"/>
        <v>4584.166666666667</v>
      </c>
      <c r="H106" s="26">
        <f t="shared" si="18"/>
        <v>-53.16666666666697</v>
      </c>
      <c r="I106" s="23">
        <f t="shared" si="25"/>
        <v>4254</v>
      </c>
      <c r="J106" s="23">
        <f t="shared" si="26"/>
        <v>5079</v>
      </c>
      <c r="K106" s="25">
        <f t="shared" si="19"/>
        <v>277</v>
      </c>
      <c r="L106" s="25">
        <f t="shared" si="20"/>
        <v>-548</v>
      </c>
      <c r="M106" s="20">
        <f t="shared" si="21"/>
        <v>260.40229885057471</v>
      </c>
      <c r="N106" s="20" t="str">
        <f t="shared" si="22"/>
        <v>Sub medie</v>
      </c>
    </row>
    <row r="107" spans="1:14" x14ac:dyDescent="0.3">
      <c r="A107" s="20" t="s">
        <v>0</v>
      </c>
      <c r="B107" s="20" t="s">
        <v>106</v>
      </c>
      <c r="C107" s="20" t="s">
        <v>2</v>
      </c>
      <c r="D107" s="23">
        <v>4593</v>
      </c>
      <c r="E107" s="20" t="str">
        <f t="shared" si="17"/>
        <v>2023</v>
      </c>
      <c r="F107" s="21">
        <f t="shared" si="23"/>
        <v>1.3683513573162658E-2</v>
      </c>
      <c r="G107" s="23">
        <f t="shared" si="24"/>
        <v>4584.166666666667</v>
      </c>
      <c r="H107" s="26">
        <f t="shared" si="18"/>
        <v>8.8333333333330302</v>
      </c>
      <c r="I107" s="23">
        <f t="shared" si="25"/>
        <v>4254</v>
      </c>
      <c r="J107" s="23">
        <f t="shared" si="26"/>
        <v>5079</v>
      </c>
      <c r="K107" s="25">
        <f t="shared" si="19"/>
        <v>339</v>
      </c>
      <c r="L107" s="25">
        <f t="shared" si="20"/>
        <v>-486</v>
      </c>
      <c r="M107" s="20">
        <f t="shared" si="21"/>
        <v>263.9655172413793</v>
      </c>
      <c r="N107" s="20" t="str">
        <f t="shared" si="22"/>
        <v>Peste medie</v>
      </c>
    </row>
    <row r="108" spans="1:14" x14ac:dyDescent="0.3">
      <c r="A108" s="20" t="s">
        <v>0</v>
      </c>
      <c r="B108" s="20" t="s">
        <v>107</v>
      </c>
      <c r="C108" s="20" t="s">
        <v>2</v>
      </c>
      <c r="D108" s="23">
        <v>4692</v>
      </c>
      <c r="E108" s="20" t="str">
        <f t="shared" si="17"/>
        <v>2023</v>
      </c>
      <c r="F108" s="21">
        <f t="shared" si="23"/>
        <v>2.1554539516655782E-2</v>
      </c>
      <c r="G108" s="23">
        <f t="shared" si="24"/>
        <v>4584.166666666667</v>
      </c>
      <c r="H108" s="26">
        <f t="shared" si="18"/>
        <v>107.83333333333303</v>
      </c>
      <c r="I108" s="23">
        <f t="shared" si="25"/>
        <v>4254</v>
      </c>
      <c r="J108" s="23">
        <f t="shared" si="26"/>
        <v>5079</v>
      </c>
      <c r="K108" s="25">
        <f t="shared" si="19"/>
        <v>438</v>
      </c>
      <c r="L108" s="25">
        <f t="shared" si="20"/>
        <v>-387</v>
      </c>
      <c r="M108" s="20">
        <f t="shared" si="21"/>
        <v>269.65517241379308</v>
      </c>
      <c r="N108" s="20" t="str">
        <f t="shared" si="22"/>
        <v>Peste medie</v>
      </c>
    </row>
    <row r="109" spans="1:14" x14ac:dyDescent="0.3">
      <c r="A109" s="20" t="s">
        <v>0</v>
      </c>
      <c r="B109" s="20" t="s">
        <v>108</v>
      </c>
      <c r="C109" s="20" t="s">
        <v>2</v>
      </c>
      <c r="D109" s="23">
        <v>4765</v>
      </c>
      <c r="E109" s="20" t="str">
        <f t="shared" si="17"/>
        <v>2023</v>
      </c>
      <c r="F109" s="21">
        <f t="shared" si="23"/>
        <v>1.5558397271952259E-2</v>
      </c>
      <c r="G109" s="23">
        <f t="shared" si="24"/>
        <v>4584.166666666667</v>
      </c>
      <c r="H109" s="26">
        <f t="shared" si="18"/>
        <v>180.83333333333303</v>
      </c>
      <c r="I109" s="23">
        <f t="shared" si="25"/>
        <v>4254</v>
      </c>
      <c r="J109" s="23">
        <f t="shared" si="26"/>
        <v>5079</v>
      </c>
      <c r="K109" s="25">
        <f t="shared" si="19"/>
        <v>511</v>
      </c>
      <c r="L109" s="25">
        <f t="shared" si="20"/>
        <v>-314</v>
      </c>
      <c r="M109" s="20">
        <f t="shared" si="21"/>
        <v>273.85057471264366</v>
      </c>
      <c r="N109" s="20" t="str">
        <f t="shared" si="22"/>
        <v>Peste medie</v>
      </c>
    </row>
    <row r="110" spans="1:14" x14ac:dyDescent="0.3">
      <c r="A110" s="20" t="s">
        <v>0</v>
      </c>
      <c r="B110" s="20" t="s">
        <v>109</v>
      </c>
      <c r="C110" s="20" t="s">
        <v>2</v>
      </c>
      <c r="D110" s="23">
        <v>5079</v>
      </c>
      <c r="E110" s="20" t="str">
        <f t="shared" si="17"/>
        <v>2023</v>
      </c>
      <c r="F110" s="21">
        <f t="shared" si="23"/>
        <v>6.5897166841552987E-2</v>
      </c>
      <c r="G110" s="23">
        <f t="shared" si="24"/>
        <v>4584.166666666667</v>
      </c>
      <c r="H110" s="26">
        <f t="shared" si="18"/>
        <v>494.83333333333303</v>
      </c>
      <c r="I110" s="23">
        <f t="shared" si="25"/>
        <v>4254</v>
      </c>
      <c r="J110" s="23">
        <f t="shared" si="26"/>
        <v>5079</v>
      </c>
      <c r="K110" s="25">
        <f t="shared" si="19"/>
        <v>825</v>
      </c>
      <c r="L110" s="25">
        <f t="shared" si="20"/>
        <v>0</v>
      </c>
      <c r="M110" s="20">
        <f t="shared" si="21"/>
        <v>291.89655172413791</v>
      </c>
      <c r="N110" s="20" t="str">
        <f t="shared" si="22"/>
        <v>Peste medie</v>
      </c>
    </row>
    <row r="111" spans="1:14" x14ac:dyDescent="0.3">
      <c r="A111" s="20" t="s">
        <v>0</v>
      </c>
      <c r="B111" s="20" t="s">
        <v>110</v>
      </c>
      <c r="C111" s="20" t="s">
        <v>2</v>
      </c>
      <c r="D111" s="23">
        <v>4859</v>
      </c>
      <c r="E111" s="20" t="str">
        <f t="shared" si="17"/>
        <v>2024</v>
      </c>
      <c r="F111" s="21">
        <f t="shared" si="23"/>
        <v>-4.3315613309706638E-2</v>
      </c>
      <c r="G111" s="23">
        <f t="shared" si="24"/>
        <v>5196.666666666667</v>
      </c>
      <c r="H111" s="26">
        <f t="shared" si="18"/>
        <v>-337.66666666666697</v>
      </c>
      <c r="I111" s="23">
        <f t="shared" si="25"/>
        <v>4859</v>
      </c>
      <c r="J111" s="23">
        <f t="shared" si="26"/>
        <v>5645</v>
      </c>
      <c r="K111" s="25">
        <f t="shared" si="19"/>
        <v>0</v>
      </c>
      <c r="L111" s="25">
        <f t="shared" si="20"/>
        <v>-786</v>
      </c>
      <c r="M111" s="20">
        <f t="shared" si="21"/>
        <v>279.25287356321837</v>
      </c>
      <c r="N111" s="20" t="str">
        <f t="shared" si="22"/>
        <v>Sub medie</v>
      </c>
    </row>
    <row r="112" spans="1:14" x14ac:dyDescent="0.3">
      <c r="A112" s="20" t="s">
        <v>0</v>
      </c>
      <c r="B112" s="20" t="s">
        <v>111</v>
      </c>
      <c r="C112" s="20" t="s">
        <v>2</v>
      </c>
      <c r="D112" s="23">
        <v>4876</v>
      </c>
      <c r="E112" s="20" t="str">
        <f t="shared" si="17"/>
        <v>2024</v>
      </c>
      <c r="F112" s="21">
        <f t="shared" si="23"/>
        <v>3.4986622761885161E-3</v>
      </c>
      <c r="G112" s="23">
        <f t="shared" si="24"/>
        <v>5196.666666666667</v>
      </c>
      <c r="H112" s="26">
        <f t="shared" si="18"/>
        <v>-320.66666666666697</v>
      </c>
      <c r="I112" s="23">
        <f t="shared" si="25"/>
        <v>4859</v>
      </c>
      <c r="J112" s="23">
        <f t="shared" si="26"/>
        <v>5645</v>
      </c>
      <c r="K112" s="25">
        <f t="shared" si="19"/>
        <v>17</v>
      </c>
      <c r="L112" s="25">
        <f t="shared" si="20"/>
        <v>-769</v>
      </c>
      <c r="M112" s="20">
        <f t="shared" si="21"/>
        <v>280.22988505747128</v>
      </c>
      <c r="N112" s="20" t="str">
        <f t="shared" si="22"/>
        <v>Sub medie</v>
      </c>
    </row>
    <row r="113" spans="1:14" x14ac:dyDescent="0.3">
      <c r="A113" s="20" t="s">
        <v>0</v>
      </c>
      <c r="B113" s="20" t="s">
        <v>112</v>
      </c>
      <c r="C113" s="20" t="s">
        <v>2</v>
      </c>
      <c r="D113" s="23">
        <v>5185</v>
      </c>
      <c r="E113" s="20" t="str">
        <f t="shared" si="17"/>
        <v>2024</v>
      </c>
      <c r="F113" s="21">
        <f t="shared" si="23"/>
        <v>6.3371616078753079E-2</v>
      </c>
      <c r="G113" s="23">
        <f t="shared" si="24"/>
        <v>5196.666666666667</v>
      </c>
      <c r="H113" s="26">
        <f t="shared" si="18"/>
        <v>-11.66666666666697</v>
      </c>
      <c r="I113" s="23">
        <f t="shared" si="25"/>
        <v>4859</v>
      </c>
      <c r="J113" s="23">
        <f t="shared" si="26"/>
        <v>5645</v>
      </c>
      <c r="K113" s="25">
        <f t="shared" si="19"/>
        <v>326</v>
      </c>
      <c r="L113" s="25">
        <f t="shared" si="20"/>
        <v>-460</v>
      </c>
      <c r="M113" s="20">
        <f t="shared" si="21"/>
        <v>297.98850574712645</v>
      </c>
      <c r="N113" s="20" t="str">
        <f t="shared" si="22"/>
        <v>Sub medie</v>
      </c>
    </row>
    <row r="114" spans="1:14" x14ac:dyDescent="0.3">
      <c r="A114" s="20" t="s">
        <v>0</v>
      </c>
      <c r="B114" s="20" t="s">
        <v>113</v>
      </c>
      <c r="C114" s="20" t="s">
        <v>2</v>
      </c>
      <c r="D114" s="23">
        <v>5217</v>
      </c>
      <c r="E114" s="20" t="str">
        <f t="shared" si="17"/>
        <v>2024</v>
      </c>
      <c r="F114" s="21">
        <f t="shared" si="23"/>
        <v>6.1716489874638382E-3</v>
      </c>
      <c r="G114" s="23">
        <f t="shared" si="24"/>
        <v>5196.666666666667</v>
      </c>
      <c r="H114" s="26">
        <f t="shared" si="18"/>
        <v>20.33333333333303</v>
      </c>
      <c r="I114" s="23">
        <f t="shared" si="25"/>
        <v>4859</v>
      </c>
      <c r="J114" s="23">
        <f t="shared" si="26"/>
        <v>5645</v>
      </c>
      <c r="K114" s="25">
        <f t="shared" si="19"/>
        <v>358</v>
      </c>
      <c r="L114" s="25">
        <f t="shared" si="20"/>
        <v>-428</v>
      </c>
      <c r="M114" s="20">
        <f t="shared" si="21"/>
        <v>299.82758620689657</v>
      </c>
      <c r="N114" s="20" t="str">
        <f t="shared" si="22"/>
        <v>Peste medie</v>
      </c>
    </row>
    <row r="115" spans="1:14" x14ac:dyDescent="0.3">
      <c r="A115" s="20" t="s">
        <v>0</v>
      </c>
      <c r="B115" s="20" t="s">
        <v>114</v>
      </c>
      <c r="C115" s="20" t="s">
        <v>2</v>
      </c>
      <c r="D115" s="23">
        <v>5118</v>
      </c>
      <c r="E115" s="20" t="str">
        <f t="shared" si="17"/>
        <v>2024</v>
      </c>
      <c r="F115" s="21">
        <f t="shared" si="23"/>
        <v>-1.8976423231742381E-2</v>
      </c>
      <c r="G115" s="23">
        <f t="shared" si="24"/>
        <v>5196.666666666667</v>
      </c>
      <c r="H115" s="26">
        <f t="shared" si="18"/>
        <v>-78.66666666666697</v>
      </c>
      <c r="I115" s="23">
        <f t="shared" si="25"/>
        <v>4859</v>
      </c>
      <c r="J115" s="23">
        <f t="shared" si="26"/>
        <v>5645</v>
      </c>
      <c r="K115" s="25">
        <f t="shared" si="19"/>
        <v>259</v>
      </c>
      <c r="L115" s="25">
        <f t="shared" si="20"/>
        <v>-527</v>
      </c>
      <c r="M115" s="20">
        <f t="shared" si="21"/>
        <v>294.13793103448273</v>
      </c>
      <c r="N115" s="20" t="str">
        <f t="shared" si="22"/>
        <v>Sub medie</v>
      </c>
    </row>
    <row r="116" spans="1:14" x14ac:dyDescent="0.3">
      <c r="A116" s="20" t="s">
        <v>0</v>
      </c>
      <c r="B116" s="20" t="s">
        <v>115</v>
      </c>
      <c r="C116" s="20" t="s">
        <v>2</v>
      </c>
      <c r="D116" s="23">
        <v>5176</v>
      </c>
      <c r="E116" s="20" t="str">
        <f t="shared" si="17"/>
        <v>2024</v>
      </c>
      <c r="F116" s="21">
        <f t="shared" si="23"/>
        <v>1.1332551778038297E-2</v>
      </c>
      <c r="G116" s="23">
        <f t="shared" si="24"/>
        <v>5196.666666666667</v>
      </c>
      <c r="H116" s="26">
        <f t="shared" si="18"/>
        <v>-20.66666666666697</v>
      </c>
      <c r="I116" s="23">
        <f t="shared" si="25"/>
        <v>4859</v>
      </c>
      <c r="J116" s="23">
        <f t="shared" si="26"/>
        <v>5645</v>
      </c>
      <c r="K116" s="25">
        <f t="shared" si="19"/>
        <v>317</v>
      </c>
      <c r="L116" s="25">
        <f t="shared" si="20"/>
        <v>-469</v>
      </c>
      <c r="M116" s="20">
        <f t="shared" si="21"/>
        <v>297.4712643678161</v>
      </c>
      <c r="N116" s="20" t="str">
        <f t="shared" si="22"/>
        <v>Sub medie</v>
      </c>
    </row>
    <row r="117" spans="1:14" x14ac:dyDescent="0.3">
      <c r="A117" s="20" t="s">
        <v>0</v>
      </c>
      <c r="B117" s="20" t="s">
        <v>116</v>
      </c>
      <c r="C117" s="20" t="s">
        <v>2</v>
      </c>
      <c r="D117" s="23">
        <v>5242</v>
      </c>
      <c r="E117" s="20" t="str">
        <f t="shared" si="17"/>
        <v>2024</v>
      </c>
      <c r="F117" s="21">
        <f t="shared" si="23"/>
        <v>1.2751159196290572E-2</v>
      </c>
      <c r="G117" s="23">
        <f t="shared" si="24"/>
        <v>5196.666666666667</v>
      </c>
      <c r="H117" s="26">
        <f t="shared" si="18"/>
        <v>45.33333333333303</v>
      </c>
      <c r="I117" s="23">
        <f t="shared" si="25"/>
        <v>4859</v>
      </c>
      <c r="J117" s="23">
        <f t="shared" si="26"/>
        <v>5645</v>
      </c>
      <c r="K117" s="25">
        <f t="shared" si="19"/>
        <v>383</v>
      </c>
      <c r="L117" s="25">
        <f t="shared" si="20"/>
        <v>-403</v>
      </c>
      <c r="M117" s="20">
        <f t="shared" si="21"/>
        <v>301.26436781609198</v>
      </c>
      <c r="N117" s="20" t="str">
        <f t="shared" si="22"/>
        <v>Peste medie</v>
      </c>
    </row>
    <row r="118" spans="1:14" x14ac:dyDescent="0.3">
      <c r="A118" s="20" t="s">
        <v>0</v>
      </c>
      <c r="B118" s="20" t="s">
        <v>117</v>
      </c>
      <c r="C118" s="20" t="s">
        <v>2</v>
      </c>
      <c r="D118" s="23">
        <v>5158</v>
      </c>
      <c r="E118" s="20" t="str">
        <f t="shared" si="17"/>
        <v>2024</v>
      </c>
      <c r="F118" s="21">
        <f t="shared" si="23"/>
        <v>-1.6024418161007248E-2</v>
      </c>
      <c r="G118" s="23">
        <f t="shared" si="24"/>
        <v>5196.666666666667</v>
      </c>
      <c r="H118" s="26">
        <f t="shared" si="18"/>
        <v>-38.66666666666697</v>
      </c>
      <c r="I118" s="23">
        <f t="shared" si="25"/>
        <v>4859</v>
      </c>
      <c r="J118" s="23">
        <f t="shared" si="26"/>
        <v>5645</v>
      </c>
      <c r="K118" s="25">
        <f t="shared" si="19"/>
        <v>299</v>
      </c>
      <c r="L118" s="25">
        <f t="shared" si="20"/>
        <v>-487</v>
      </c>
      <c r="M118" s="20">
        <f t="shared" si="21"/>
        <v>296.43678160919541</v>
      </c>
      <c r="N118" s="20" t="str">
        <f t="shared" si="22"/>
        <v>Sub medie</v>
      </c>
    </row>
    <row r="119" spans="1:14" x14ac:dyDescent="0.3">
      <c r="A119" s="20" t="s">
        <v>0</v>
      </c>
      <c r="B119" s="20" t="s">
        <v>118</v>
      </c>
      <c r="C119" s="20" t="s">
        <v>2</v>
      </c>
      <c r="D119" s="23">
        <v>5228</v>
      </c>
      <c r="E119" s="20" t="str">
        <f t="shared" si="17"/>
        <v>2024</v>
      </c>
      <c r="F119" s="21">
        <f t="shared" si="23"/>
        <v>1.3571151609150834E-2</v>
      </c>
      <c r="G119" s="23">
        <f t="shared" si="24"/>
        <v>5196.666666666667</v>
      </c>
      <c r="H119" s="26">
        <f t="shared" si="18"/>
        <v>31.33333333333303</v>
      </c>
      <c r="I119" s="23">
        <f t="shared" si="25"/>
        <v>4859</v>
      </c>
      <c r="J119" s="23">
        <f t="shared" si="26"/>
        <v>5645</v>
      </c>
      <c r="K119" s="25">
        <f t="shared" si="19"/>
        <v>369</v>
      </c>
      <c r="L119" s="25">
        <f t="shared" si="20"/>
        <v>-417</v>
      </c>
      <c r="M119" s="20">
        <f t="shared" si="21"/>
        <v>300.4597701149425</v>
      </c>
      <c r="N119" s="20" t="str">
        <f t="shared" si="22"/>
        <v>Peste medie</v>
      </c>
    </row>
    <row r="120" spans="1:14" x14ac:dyDescent="0.3">
      <c r="A120" s="20" t="s">
        <v>0</v>
      </c>
      <c r="B120" s="20" t="s">
        <v>119</v>
      </c>
      <c r="C120" s="20" t="s">
        <v>2</v>
      </c>
      <c r="D120" s="23">
        <v>5268</v>
      </c>
      <c r="E120" s="20" t="str">
        <f t="shared" si="17"/>
        <v>2024</v>
      </c>
      <c r="F120" s="21">
        <f t="shared" si="23"/>
        <v>7.6511094108645756E-3</v>
      </c>
      <c r="G120" s="23">
        <f t="shared" si="24"/>
        <v>5196.666666666667</v>
      </c>
      <c r="H120" s="26">
        <f t="shared" si="18"/>
        <v>71.33333333333303</v>
      </c>
      <c r="I120" s="23">
        <f t="shared" si="25"/>
        <v>4859</v>
      </c>
      <c r="J120" s="23">
        <f t="shared" si="26"/>
        <v>5645</v>
      </c>
      <c r="K120" s="25">
        <f t="shared" si="19"/>
        <v>409</v>
      </c>
      <c r="L120" s="25">
        <f t="shared" si="20"/>
        <v>-377</v>
      </c>
      <c r="M120" s="20">
        <f t="shared" si="21"/>
        <v>302.75862068965517</v>
      </c>
      <c r="N120" s="20" t="str">
        <f t="shared" si="22"/>
        <v>Peste medie</v>
      </c>
    </row>
    <row r="121" spans="1:14" x14ac:dyDescent="0.3">
      <c r="A121" s="20" t="s">
        <v>0</v>
      </c>
      <c r="B121" s="20" t="s">
        <v>120</v>
      </c>
      <c r="C121" s="20" t="s">
        <v>2</v>
      </c>
      <c r="D121" s="23">
        <v>5388</v>
      </c>
      <c r="E121" s="20" t="str">
        <f t="shared" si="17"/>
        <v>2024</v>
      </c>
      <c r="F121" s="21">
        <f t="shared" si="23"/>
        <v>2.2779043280182234E-2</v>
      </c>
      <c r="G121" s="23">
        <f t="shared" si="24"/>
        <v>5196.666666666667</v>
      </c>
      <c r="H121" s="26">
        <f t="shared" si="18"/>
        <v>191.33333333333303</v>
      </c>
      <c r="I121" s="23">
        <f t="shared" si="25"/>
        <v>4859</v>
      </c>
      <c r="J121" s="23">
        <f t="shared" si="26"/>
        <v>5645</v>
      </c>
      <c r="K121" s="25">
        <f t="shared" si="19"/>
        <v>529</v>
      </c>
      <c r="L121" s="25">
        <f t="shared" si="20"/>
        <v>-257</v>
      </c>
      <c r="M121" s="20">
        <f t="shared" si="21"/>
        <v>309.65517241379314</v>
      </c>
      <c r="N121" s="20" t="str">
        <f t="shared" si="22"/>
        <v>Peste medie</v>
      </c>
    </row>
    <row r="122" spans="1:14" x14ac:dyDescent="0.3">
      <c r="A122" s="20" t="s">
        <v>0</v>
      </c>
      <c r="B122" s="20" t="s">
        <v>121</v>
      </c>
      <c r="C122" s="20" t="s">
        <v>2</v>
      </c>
      <c r="D122" s="23">
        <v>5645</v>
      </c>
      <c r="E122" s="20" t="str">
        <f t="shared" si="17"/>
        <v>2024</v>
      </c>
      <c r="F122" s="21">
        <f t="shared" si="23"/>
        <v>4.7698589458054934E-2</v>
      </c>
      <c r="G122" s="23">
        <f t="shared" si="24"/>
        <v>5196.666666666667</v>
      </c>
      <c r="H122" s="26">
        <f t="shared" si="18"/>
        <v>448.33333333333303</v>
      </c>
      <c r="I122" s="23">
        <f t="shared" si="25"/>
        <v>4859</v>
      </c>
      <c r="J122" s="23">
        <f t="shared" si="26"/>
        <v>5645</v>
      </c>
      <c r="K122" s="25">
        <f t="shared" si="19"/>
        <v>786</v>
      </c>
      <c r="L122" s="25">
        <f t="shared" si="20"/>
        <v>0</v>
      </c>
      <c r="M122" s="20">
        <f t="shared" si="21"/>
        <v>324.42528735632186</v>
      </c>
      <c r="N122" s="20" t="str">
        <f t="shared" si="22"/>
        <v>Peste medie</v>
      </c>
    </row>
    <row r="123" spans="1:14" x14ac:dyDescent="0.3">
      <c r="A123" s="20" t="s">
        <v>0</v>
      </c>
      <c r="B123" s="20" t="s">
        <v>122</v>
      </c>
      <c r="C123" s="20" t="s">
        <v>2</v>
      </c>
      <c r="D123" s="23">
        <v>5328</v>
      </c>
      <c r="E123" s="20" t="str">
        <f t="shared" si="17"/>
        <v>2025</v>
      </c>
      <c r="F123" s="21">
        <f t="shared" si="23"/>
        <v>-5.615589016829052E-2</v>
      </c>
      <c r="G123" s="23">
        <f t="shared" si="24"/>
        <v>5536</v>
      </c>
      <c r="H123" s="20">
        <f t="shared" si="18"/>
        <v>-208</v>
      </c>
      <c r="I123" s="23">
        <f t="shared" si="25"/>
        <v>5328</v>
      </c>
      <c r="J123" s="23">
        <f t="shared" si="26"/>
        <v>5914</v>
      </c>
      <c r="K123" s="25">
        <f t="shared" si="19"/>
        <v>0</v>
      </c>
      <c r="L123" s="25">
        <f t="shared" si="20"/>
        <v>-586</v>
      </c>
      <c r="M123" s="20">
        <f t="shared" si="21"/>
        <v>306.20689655172413</v>
      </c>
      <c r="N123" s="20" t="str">
        <f t="shared" si="22"/>
        <v>Sub medie</v>
      </c>
    </row>
    <row r="124" spans="1:14" x14ac:dyDescent="0.3">
      <c r="A124" s="20" t="s">
        <v>0</v>
      </c>
      <c r="B124" s="20" t="s">
        <v>123</v>
      </c>
      <c r="C124" s="20" t="s">
        <v>2</v>
      </c>
      <c r="D124" s="23">
        <v>5351</v>
      </c>
      <c r="E124" s="20" t="str">
        <f t="shared" si="17"/>
        <v>2025</v>
      </c>
      <c r="F124" s="21">
        <f t="shared" si="23"/>
        <v>4.3168168168168167E-3</v>
      </c>
      <c r="G124" s="23">
        <f t="shared" si="24"/>
        <v>5536</v>
      </c>
      <c r="H124" s="20">
        <f t="shared" si="18"/>
        <v>-185</v>
      </c>
      <c r="I124" s="23">
        <f t="shared" si="25"/>
        <v>5328</v>
      </c>
      <c r="J124" s="23">
        <f t="shared" si="26"/>
        <v>5914</v>
      </c>
      <c r="K124" s="25">
        <f t="shared" si="19"/>
        <v>23</v>
      </c>
      <c r="L124" s="25">
        <f t="shared" si="20"/>
        <v>-563</v>
      </c>
      <c r="M124" s="20">
        <f t="shared" si="21"/>
        <v>307.5287356321839</v>
      </c>
      <c r="N124" s="20" t="str">
        <f t="shared" si="22"/>
        <v>Sub medie</v>
      </c>
    </row>
    <row r="125" spans="1:14" x14ac:dyDescent="0.3">
      <c r="A125" s="20" t="s">
        <v>0</v>
      </c>
      <c r="B125" s="20" t="s">
        <v>124</v>
      </c>
      <c r="C125" s="20" t="s">
        <v>2</v>
      </c>
      <c r="D125" s="23">
        <v>5691</v>
      </c>
      <c r="E125" s="20" t="str">
        <f t="shared" si="17"/>
        <v>2025</v>
      </c>
      <c r="F125" s="21">
        <f t="shared" si="23"/>
        <v>6.3539525322369644E-2</v>
      </c>
      <c r="G125" s="23">
        <f t="shared" si="24"/>
        <v>5536</v>
      </c>
      <c r="H125" s="20">
        <f t="shared" si="18"/>
        <v>155</v>
      </c>
      <c r="I125" s="23">
        <f t="shared" si="25"/>
        <v>5328</v>
      </c>
      <c r="J125" s="23">
        <f t="shared" si="26"/>
        <v>5914</v>
      </c>
      <c r="K125" s="25">
        <f t="shared" si="19"/>
        <v>363</v>
      </c>
      <c r="L125" s="25">
        <f t="shared" si="20"/>
        <v>-223</v>
      </c>
      <c r="M125" s="20">
        <f t="shared" si="21"/>
        <v>327.06896551724134</v>
      </c>
      <c r="N125" s="20" t="str">
        <f t="shared" si="22"/>
        <v>Peste medie</v>
      </c>
    </row>
    <row r="126" spans="1:14" x14ac:dyDescent="0.3">
      <c r="A126" s="20" t="s">
        <v>0</v>
      </c>
      <c r="B126" s="20" t="s">
        <v>125</v>
      </c>
      <c r="C126" s="20" t="s">
        <v>2</v>
      </c>
      <c r="D126" s="23">
        <v>5647</v>
      </c>
      <c r="E126" s="20" t="str">
        <f t="shared" si="17"/>
        <v>2025</v>
      </c>
      <c r="F126" s="21">
        <f t="shared" si="23"/>
        <v>-7.731505886487436E-3</v>
      </c>
      <c r="G126" s="23">
        <f t="shared" si="24"/>
        <v>5536</v>
      </c>
      <c r="H126" s="20">
        <f t="shared" si="18"/>
        <v>111</v>
      </c>
      <c r="I126" s="23">
        <f t="shared" si="25"/>
        <v>5328</v>
      </c>
      <c r="J126" s="23">
        <f t="shared" si="26"/>
        <v>5914</v>
      </c>
      <c r="K126" s="25">
        <f t="shared" si="19"/>
        <v>319</v>
      </c>
      <c r="L126" s="25">
        <f t="shared" si="20"/>
        <v>-267</v>
      </c>
      <c r="M126" s="20">
        <f t="shared" si="21"/>
        <v>324.5402298850575</v>
      </c>
      <c r="N126" s="20" t="str">
        <f t="shared" si="22"/>
        <v>Peste medie</v>
      </c>
    </row>
    <row r="127" spans="1:14" x14ac:dyDescent="0.3">
      <c r="A127" s="20" t="s">
        <v>0</v>
      </c>
      <c r="B127" s="20" t="s">
        <v>126</v>
      </c>
      <c r="C127" s="20" t="s">
        <v>2</v>
      </c>
      <c r="D127" s="23">
        <v>5508</v>
      </c>
      <c r="E127" s="20" t="str">
        <f t="shared" si="17"/>
        <v>2025</v>
      </c>
      <c r="F127" s="21">
        <f t="shared" si="23"/>
        <v>-2.4614839737913938E-2</v>
      </c>
      <c r="G127" s="23">
        <f t="shared" si="24"/>
        <v>5536</v>
      </c>
      <c r="H127" s="20">
        <f t="shared" si="18"/>
        <v>-28</v>
      </c>
      <c r="I127" s="23">
        <f t="shared" si="25"/>
        <v>5328</v>
      </c>
      <c r="J127" s="23">
        <f t="shared" si="26"/>
        <v>5914</v>
      </c>
      <c r="K127" s="25">
        <f t="shared" si="19"/>
        <v>180</v>
      </c>
      <c r="L127" s="25">
        <f t="shared" si="20"/>
        <v>-406</v>
      </c>
      <c r="M127" s="20">
        <f t="shared" si="21"/>
        <v>316.55172413793105</v>
      </c>
      <c r="N127" s="20" t="str">
        <f t="shared" si="22"/>
        <v>Sub medie</v>
      </c>
    </row>
    <row r="128" spans="1:14" x14ac:dyDescent="0.3">
      <c r="A128" s="20" t="s">
        <v>0</v>
      </c>
      <c r="B128" s="20" t="s">
        <v>127</v>
      </c>
      <c r="C128" s="20" t="s">
        <v>2</v>
      </c>
      <c r="D128" s="23">
        <v>5539</v>
      </c>
      <c r="E128" s="20" t="str">
        <f t="shared" si="17"/>
        <v>2025</v>
      </c>
      <c r="F128" s="21">
        <f t="shared" si="23"/>
        <v>5.6281771968046479E-3</v>
      </c>
      <c r="G128" s="23">
        <f t="shared" si="24"/>
        <v>5536</v>
      </c>
      <c r="H128" s="20">
        <f t="shared" si="18"/>
        <v>3</v>
      </c>
      <c r="I128" s="23">
        <f t="shared" si="25"/>
        <v>5328</v>
      </c>
      <c r="J128" s="23">
        <f t="shared" si="26"/>
        <v>5914</v>
      </c>
      <c r="K128" s="25">
        <f t="shared" si="19"/>
        <v>211</v>
      </c>
      <c r="L128" s="25">
        <f t="shared" si="20"/>
        <v>-375</v>
      </c>
      <c r="M128" s="20">
        <f t="shared" si="21"/>
        <v>318.33333333333331</v>
      </c>
      <c r="N128" s="20" t="str">
        <f t="shared" si="22"/>
        <v>Peste medie</v>
      </c>
    </row>
    <row r="129" spans="1:14" x14ac:dyDescent="0.3">
      <c r="A129" s="20" t="s">
        <v>0</v>
      </c>
      <c r="B129" s="20" t="s">
        <v>128</v>
      </c>
      <c r="C129" s="20" t="s">
        <v>2</v>
      </c>
      <c r="D129" s="23">
        <v>5517</v>
      </c>
      <c r="E129" s="20" t="str">
        <f t="shared" si="17"/>
        <v>2025</v>
      </c>
      <c r="F129" s="21">
        <f t="shared" si="23"/>
        <v>-3.9718360714930496E-3</v>
      </c>
      <c r="G129" s="23">
        <f t="shared" si="24"/>
        <v>5536</v>
      </c>
      <c r="H129" s="20">
        <f t="shared" si="18"/>
        <v>-19</v>
      </c>
      <c r="I129" s="23">
        <f t="shared" si="25"/>
        <v>5328</v>
      </c>
      <c r="J129" s="23">
        <f t="shared" si="26"/>
        <v>5914</v>
      </c>
      <c r="K129" s="25">
        <f t="shared" si="19"/>
        <v>189</v>
      </c>
      <c r="L129" s="25">
        <f t="shared" si="20"/>
        <v>-397</v>
      </c>
      <c r="M129" s="20">
        <f t="shared" si="21"/>
        <v>317.06896551724139</v>
      </c>
      <c r="N129" s="20" t="str">
        <f t="shared" si="22"/>
        <v>Sub medie</v>
      </c>
    </row>
    <row r="130" spans="1:14" x14ac:dyDescent="0.3">
      <c r="A130" s="20" t="s">
        <v>0</v>
      </c>
      <c r="B130" s="20" t="s">
        <v>129</v>
      </c>
      <c r="C130" s="20" t="s">
        <v>2</v>
      </c>
      <c r="D130" s="23">
        <v>5387</v>
      </c>
      <c r="E130" s="20" t="str">
        <f t="shared" si="17"/>
        <v>2025</v>
      </c>
      <c r="F130" s="21">
        <f t="shared" si="23"/>
        <v>-2.3563530904477072E-2</v>
      </c>
      <c r="G130" s="23">
        <f t="shared" si="24"/>
        <v>5536</v>
      </c>
      <c r="H130" s="20">
        <f t="shared" si="18"/>
        <v>-149</v>
      </c>
      <c r="I130" s="23">
        <f t="shared" si="25"/>
        <v>5328</v>
      </c>
      <c r="J130" s="23">
        <f t="shared" si="26"/>
        <v>5914</v>
      </c>
      <c r="K130" s="25">
        <f t="shared" si="19"/>
        <v>59</v>
      </c>
      <c r="L130" s="25">
        <f t="shared" si="20"/>
        <v>-527</v>
      </c>
      <c r="M130" s="20">
        <f t="shared" si="21"/>
        <v>309.59770114942529</v>
      </c>
      <c r="N130" s="20" t="str">
        <f t="shared" si="22"/>
        <v>Sub medie</v>
      </c>
    </row>
    <row r="131" spans="1:14" x14ac:dyDescent="0.3">
      <c r="A131" s="20" t="s">
        <v>0</v>
      </c>
      <c r="B131" s="20" t="s">
        <v>130</v>
      </c>
      <c r="C131" s="20" t="s">
        <v>2</v>
      </c>
      <c r="D131" s="23">
        <v>5443</v>
      </c>
      <c r="E131" s="20" t="str">
        <f t="shared" si="17"/>
        <v>2025</v>
      </c>
      <c r="F131" s="21">
        <f t="shared" si="23"/>
        <v>1.0395396324484871E-2</v>
      </c>
      <c r="G131" s="23">
        <f t="shared" si="24"/>
        <v>5536</v>
      </c>
      <c r="H131" s="20">
        <f t="shared" si="18"/>
        <v>-93</v>
      </c>
      <c r="I131" s="23">
        <f t="shared" si="25"/>
        <v>5328</v>
      </c>
      <c r="J131" s="23">
        <f t="shared" si="26"/>
        <v>5914</v>
      </c>
      <c r="K131" s="25">
        <f t="shared" si="19"/>
        <v>115</v>
      </c>
      <c r="L131" s="25">
        <f t="shared" si="20"/>
        <v>-471</v>
      </c>
      <c r="M131" s="20">
        <f t="shared" si="21"/>
        <v>312.81609195402302</v>
      </c>
      <c r="N131" s="20" t="str">
        <f t="shared" si="22"/>
        <v>Sub medie</v>
      </c>
    </row>
    <row r="132" spans="1:14" x14ac:dyDescent="0.3">
      <c r="A132" s="20" t="s">
        <v>0</v>
      </c>
      <c r="B132" s="20" t="s">
        <v>131</v>
      </c>
      <c r="C132" s="20" t="s">
        <v>2</v>
      </c>
      <c r="D132" s="23">
        <v>5492</v>
      </c>
      <c r="E132" s="20" t="str">
        <f>RIGHT(B132,4)</f>
        <v>2025</v>
      </c>
      <c r="F132" s="21">
        <f t="shared" si="23"/>
        <v>9.0023883887562009E-3</v>
      </c>
      <c r="G132" s="23">
        <f t="shared" si="24"/>
        <v>5536</v>
      </c>
      <c r="H132" s="20">
        <f>D132-G132</f>
        <v>-44</v>
      </c>
      <c r="I132" s="23">
        <f t="shared" si="25"/>
        <v>5328</v>
      </c>
      <c r="J132" s="23">
        <f t="shared" si="26"/>
        <v>5914</v>
      </c>
      <c r="K132" s="25">
        <f>D132-I132</f>
        <v>164</v>
      </c>
      <c r="L132" s="25">
        <f>D132-J132</f>
        <v>-422</v>
      </c>
      <c r="M132" s="20">
        <f>D132/$D$3*100</f>
        <v>315.63218390804599</v>
      </c>
      <c r="N132" s="20" t="str">
        <f>IF(D132&gt;G132, "Peste medie", IF(D132&lt;G132, "Sub medie", "La medie"))</f>
        <v>Sub medie</v>
      </c>
    </row>
    <row r="133" spans="1:14" x14ac:dyDescent="0.3">
      <c r="A133" s="20" t="s">
        <v>0</v>
      </c>
      <c r="B133" s="20" t="s">
        <v>132</v>
      </c>
      <c r="C133" s="20" t="s">
        <v>2</v>
      </c>
      <c r="D133" s="23">
        <v>5615</v>
      </c>
      <c r="E133" s="20" t="str">
        <f>RIGHT(B133,4)</f>
        <v>2025</v>
      </c>
      <c r="F133" s="21">
        <f>(D133-D132)/D132</f>
        <v>2.239621267297888E-2</v>
      </c>
      <c r="G133" s="23">
        <f t="shared" si="24"/>
        <v>5536</v>
      </c>
      <c r="H133" s="20">
        <f>D133-G133</f>
        <v>79</v>
      </c>
      <c r="I133" s="23">
        <f t="shared" si="25"/>
        <v>5328</v>
      </c>
      <c r="J133" s="23">
        <f t="shared" si="26"/>
        <v>5914</v>
      </c>
      <c r="K133" s="25">
        <f>D133-I133</f>
        <v>287</v>
      </c>
      <c r="L133" s="25">
        <f>D133-J133</f>
        <v>-299</v>
      </c>
      <c r="M133" s="20">
        <f>D133/$D$3*100</f>
        <v>322.70114942528733</v>
      </c>
      <c r="N133" s="20" t="str">
        <f>IF(D133&gt;G133, "Peste medie", IF(D133&lt;G133, "Sub medie", "La medie"))</f>
        <v>Peste medie</v>
      </c>
    </row>
    <row r="134" spans="1:14" x14ac:dyDescent="0.3">
      <c r="A134" s="20" t="s">
        <v>0</v>
      </c>
      <c r="B134" s="20" t="s">
        <v>133</v>
      </c>
      <c r="C134" s="20" t="s">
        <v>2</v>
      </c>
      <c r="D134" s="23">
        <v>5914</v>
      </c>
      <c r="E134" s="20" t="str">
        <f>RIGHT(B134,4)</f>
        <v>2025</v>
      </c>
      <c r="F134" s="21">
        <f>(D134-D133)/D133</f>
        <v>5.3250222617987536E-2</v>
      </c>
      <c r="G134" s="23">
        <f t="shared" si="24"/>
        <v>5536</v>
      </c>
      <c r="H134" s="20">
        <f>D134-G134</f>
        <v>378</v>
      </c>
      <c r="I134" s="23">
        <f t="shared" si="25"/>
        <v>5328</v>
      </c>
      <c r="J134" s="23">
        <f t="shared" si="26"/>
        <v>5914</v>
      </c>
      <c r="K134" s="25">
        <f>D134-I134</f>
        <v>586</v>
      </c>
      <c r="L134" s="25">
        <f>D134-J134</f>
        <v>0</v>
      </c>
      <c r="M134" s="20">
        <f>D134/$D$3*100</f>
        <v>339.88505747126436</v>
      </c>
      <c r="N134" s="20" t="str">
        <f>IF(D134&gt;G134, "Peste medie", IF(D134&lt;G134, "Sub medie", "La medie"))</f>
        <v>Peste medie</v>
      </c>
    </row>
  </sheetData>
  <mergeCells count="1">
    <mergeCell ref="A1:O1"/>
  </mergeCells>
  <conditionalFormatting sqref="F2:F104857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{49AEEDE3-DA68-4288-9ECF-8FB24446389E}</x14:id>
        </ext>
      </extLst>
    </cfRule>
    <cfRule type="cellIs" dxfId="34" priority="14" operator="lessThan">
      <formula>0</formula>
    </cfRule>
    <cfRule type="cellIs" dxfId="33" priority="15" operator="greaterThan">
      <formula>0</formula>
    </cfRule>
  </conditionalFormatting>
  <conditionalFormatting sqref="H2:H1048576">
    <cfRule type="cellIs" dxfId="32" priority="12" operator="lessThan">
      <formula>0</formula>
    </cfRule>
    <cfRule type="cellIs" dxfId="31" priority="13" operator="greaterThan">
      <formula>0</formula>
    </cfRule>
  </conditionalFormatting>
  <conditionalFormatting sqref="M2:M1048576 N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{70B73C4A-2C59-488F-AF44-57DD9E87080E}</x14:id>
        </ext>
      </extLst>
    </cfRule>
  </conditionalFormatting>
  <conditionalFormatting sqref="N2:N1048576">
    <cfRule type="containsText" dxfId="30" priority="1" operator="containsText" text="sub medie">
      <formula>NOT(ISERROR(SEARCH("sub medie",N2)))</formula>
    </cfRule>
    <cfRule type="aboveAverage" dxfId="29" priority="4" aboveAverage="0"/>
    <cfRule type="containsText" dxfId="28" priority="5" operator="containsText" text="peste medie">
      <formula>NOT(ISERROR(SEARCH("peste medie",N2)))</formula>
    </cfRule>
    <cfRule type="cellIs" dxfId="27" priority="6" operator="greaterThan">
      <formula>0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">
    <cfRule type="aboveAverage" priority="7"/>
  </conditionalFormatting>
  <conditionalFormatting sqref="L25">
    <cfRule type="containsText" dxfId="26" priority="2" operator="containsText" text="sub medie">
      <formula>NOT(ISERROR(SEARCH("sub medie",L25)))</formula>
    </cfRule>
    <cfRule type="aboveAverage" dxfId="25" priority="3" aboveAverage="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EEDE3-DA68-4288-9ECF-8FB2444638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F2:F1048576</xm:sqref>
        </x14:conditionalFormatting>
        <x14:conditionalFormatting xmlns:xm="http://schemas.microsoft.com/office/excel/2006/main">
          <x14:cfRule type="dataBar" id="{70B73C4A-2C59-488F-AF44-57DD9E870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M2:M1048576 N2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workbookViewId="0">
      <selection activeCell="D28" sqref="D28"/>
    </sheetView>
  </sheetViews>
  <sheetFormatPr defaultRowHeight="14.4" x14ac:dyDescent="0.3"/>
  <cols>
    <col min="1" max="1" width="5.5546875" bestFit="1" customWidth="1"/>
    <col min="2" max="2" width="19.5546875" bestFit="1" customWidth="1"/>
  </cols>
  <sheetData>
    <row r="3" spans="1:2" x14ac:dyDescent="0.3">
      <c r="A3" s="35" t="s">
        <v>138</v>
      </c>
      <c r="B3" s="35" t="s">
        <v>187</v>
      </c>
    </row>
    <row r="4" spans="1:2" x14ac:dyDescent="0.3">
      <c r="A4" s="1" t="s">
        <v>139</v>
      </c>
      <c r="B4" s="31">
        <v>1848.25</v>
      </c>
    </row>
    <row r="5" spans="1:2" x14ac:dyDescent="0.3">
      <c r="A5" s="1" t="s">
        <v>140</v>
      </c>
      <c r="B5" s="31">
        <v>2087.75</v>
      </c>
    </row>
    <row r="6" spans="1:2" x14ac:dyDescent="0.3">
      <c r="A6" s="1" t="s">
        <v>141</v>
      </c>
      <c r="B6" s="31">
        <v>2383.5833333333335</v>
      </c>
    </row>
    <row r="7" spans="1:2" x14ac:dyDescent="0.3">
      <c r="A7" s="1" t="s">
        <v>142</v>
      </c>
      <c r="B7" s="31">
        <v>2695.5833333333335</v>
      </c>
    </row>
    <row r="8" spans="1:2" x14ac:dyDescent="0.3">
      <c r="A8" s="1" t="s">
        <v>143</v>
      </c>
      <c r="B8" s="31">
        <v>3098.5</v>
      </c>
    </row>
    <row r="9" spans="1:2" x14ac:dyDescent="0.3">
      <c r="A9" s="1" t="s">
        <v>144</v>
      </c>
      <c r="B9" s="31">
        <v>3307.1666666666665</v>
      </c>
    </row>
    <row r="10" spans="1:2" x14ac:dyDescent="0.3">
      <c r="A10" s="1" t="s">
        <v>145</v>
      </c>
      <c r="B10" s="31">
        <v>3543.1666666666665</v>
      </c>
    </row>
    <row r="11" spans="1:2" x14ac:dyDescent="0.3">
      <c r="A11" s="1" t="s">
        <v>146</v>
      </c>
      <c r="B11" s="31">
        <v>3973.8333333333335</v>
      </c>
    </row>
    <row r="12" spans="1:2" x14ac:dyDescent="0.3">
      <c r="A12" s="1" t="s">
        <v>147</v>
      </c>
      <c r="B12" s="31">
        <v>4584.166666666667</v>
      </c>
    </row>
    <row r="13" spans="1:2" x14ac:dyDescent="0.3">
      <c r="A13" s="1" t="s">
        <v>148</v>
      </c>
      <c r="B13" s="31">
        <v>5196.666666666667</v>
      </c>
    </row>
    <row r="14" spans="1:2" x14ac:dyDescent="0.3">
      <c r="A14" s="1" t="s">
        <v>149</v>
      </c>
      <c r="B14" s="31">
        <v>5536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583A-7E7B-4BA1-B882-7921B8E969F3}">
  <dimension ref="A1:AC16"/>
  <sheetViews>
    <sheetView workbookViewId="0">
      <selection activeCell="Q20" sqref="Q20"/>
    </sheetView>
  </sheetViews>
  <sheetFormatPr defaultRowHeight="14.4" x14ac:dyDescent="0.3"/>
  <cols>
    <col min="1" max="1" width="13.88671875" customWidth="1"/>
    <col min="3" max="3" width="11" style="5" customWidth="1"/>
  </cols>
  <sheetData>
    <row r="1" spans="1:29" x14ac:dyDescent="0.3">
      <c r="A1" s="32" t="s">
        <v>138</v>
      </c>
      <c r="B1" s="32" t="s">
        <v>159</v>
      </c>
      <c r="C1" s="28" t="s">
        <v>160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x14ac:dyDescent="0.3">
      <c r="A2">
        <v>2015</v>
      </c>
      <c r="B2">
        <v>99.07</v>
      </c>
      <c r="C2" s="5">
        <v>-0.93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x14ac:dyDescent="0.3">
      <c r="A3">
        <v>2016</v>
      </c>
      <c r="B3">
        <v>99.46</v>
      </c>
      <c r="C3" s="5">
        <v>-0.54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1:29" x14ac:dyDescent="0.3">
      <c r="A4">
        <v>2017</v>
      </c>
      <c r="B4">
        <v>103.32</v>
      </c>
      <c r="C4" s="5">
        <v>3.32</v>
      </c>
    </row>
    <row r="5" spans="1:29" x14ac:dyDescent="0.3">
      <c r="A5">
        <v>2018</v>
      </c>
      <c r="B5">
        <v>103.27</v>
      </c>
      <c r="C5" s="5">
        <v>3.27</v>
      </c>
    </row>
    <row r="6" spans="1:29" x14ac:dyDescent="0.3">
      <c r="A6">
        <v>2019</v>
      </c>
      <c r="B6">
        <v>104.04</v>
      </c>
      <c r="C6" s="5">
        <v>4.04</v>
      </c>
    </row>
    <row r="7" spans="1:29" x14ac:dyDescent="0.3">
      <c r="A7">
        <v>2020</v>
      </c>
      <c r="B7">
        <v>102.06</v>
      </c>
      <c r="C7" s="5">
        <v>2.06</v>
      </c>
    </row>
    <row r="8" spans="1:29" x14ac:dyDescent="0.3">
      <c r="A8">
        <v>2021</v>
      </c>
      <c r="B8">
        <v>108.19</v>
      </c>
      <c r="C8" s="5">
        <v>8.19</v>
      </c>
    </row>
    <row r="9" spans="1:29" x14ac:dyDescent="0.3">
      <c r="A9">
        <v>2022</v>
      </c>
      <c r="B9">
        <v>116.37</v>
      </c>
      <c r="C9" s="5">
        <v>16.37</v>
      </c>
    </row>
    <row r="10" spans="1:29" x14ac:dyDescent="0.3">
      <c r="A10">
        <v>2023</v>
      </c>
      <c r="B10">
        <v>106.61</v>
      </c>
      <c r="C10" s="5">
        <v>6.61</v>
      </c>
    </row>
    <row r="11" spans="1:29" x14ac:dyDescent="0.3">
      <c r="A11">
        <v>2024</v>
      </c>
      <c r="B11">
        <v>105.14</v>
      </c>
      <c r="C11" s="5">
        <v>5.14</v>
      </c>
    </row>
    <row r="12" spans="1:29" x14ac:dyDescent="0.3">
      <c r="A12">
        <v>2025</v>
      </c>
      <c r="B12">
        <v>109.69</v>
      </c>
      <c r="C12" s="5">
        <v>9.69</v>
      </c>
    </row>
    <row r="14" spans="1:29" x14ac:dyDescent="0.3">
      <c r="A14" s="29" t="s">
        <v>161</v>
      </c>
      <c r="B14" s="30">
        <f>AVERAGE(C2:C12)</f>
        <v>5.2018181818181821</v>
      </c>
    </row>
    <row r="15" spans="1:29" x14ac:dyDescent="0.3">
      <c r="A15" s="29" t="s">
        <v>162</v>
      </c>
      <c r="B15" s="30">
        <f>MIN(C2:C12)</f>
        <v>-0.93</v>
      </c>
    </row>
    <row r="16" spans="1:29" x14ac:dyDescent="0.3">
      <c r="A16" s="29" t="s">
        <v>163</v>
      </c>
      <c r="B16" s="30">
        <f>MAX(C2:C12)</f>
        <v>16.37</v>
      </c>
    </row>
  </sheetData>
  <conditionalFormatting sqref="C1:C1048576">
    <cfRule type="cellIs" dxfId="17" priority="1" operator="greaterThan">
      <formula>10</formula>
    </cfRule>
    <cfRule type="cellIs" dxfId="16" priority="2" operator="lessThan">
      <formula>0</formula>
    </cfRule>
    <cfRule type="cellIs" dxfId="15" priority="3" operator="greaterThan">
      <formula>5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43AF-C1A8-4209-B0D6-6F6478CE77D7}">
  <dimension ref="A1:H26"/>
  <sheetViews>
    <sheetView workbookViewId="0">
      <pane ySplit="1" topLeftCell="A9" activePane="bottomLeft" state="frozen"/>
      <selection activeCell="E1" sqref="E1"/>
      <selection pane="bottomLeft" activeCell="H12" sqref="H12"/>
    </sheetView>
  </sheetViews>
  <sheetFormatPr defaultRowHeight="14.4" x14ac:dyDescent="0.3"/>
  <cols>
    <col min="1" max="1" width="18.5546875" bestFit="1" customWidth="1"/>
    <col min="2" max="2" width="21.77734375" bestFit="1" customWidth="1"/>
    <col min="3" max="3" width="36.5546875" bestFit="1" customWidth="1"/>
    <col min="4" max="4" width="20.88671875" style="1" bestFit="1" customWidth="1"/>
    <col min="5" max="5" width="26.6640625" bestFit="1" customWidth="1"/>
    <col min="6" max="6" width="11.77734375" bestFit="1" customWidth="1"/>
    <col min="7" max="7" width="10.88671875" bestFit="1" customWidth="1"/>
  </cols>
  <sheetData>
    <row r="1" spans="1:8" ht="23.4" x14ac:dyDescent="0.3">
      <c r="A1" s="63" t="s">
        <v>184</v>
      </c>
      <c r="B1" s="63"/>
      <c r="C1" s="63"/>
      <c r="D1" s="63"/>
      <c r="E1" s="63"/>
      <c r="F1" s="63"/>
      <c r="G1" s="63"/>
    </row>
    <row r="2" spans="1:8" x14ac:dyDescent="0.3">
      <c r="A2" s="64" t="s">
        <v>185</v>
      </c>
      <c r="B2" s="65"/>
      <c r="C2" s="65"/>
      <c r="D2" s="65"/>
      <c r="E2" s="65"/>
      <c r="F2" s="65"/>
      <c r="G2" s="65"/>
    </row>
    <row r="3" spans="1:8" ht="15.6" x14ac:dyDescent="0.3">
      <c r="A3" s="7" t="s">
        <v>138</v>
      </c>
      <c r="B3" s="7" t="s">
        <v>164</v>
      </c>
      <c r="C3" s="7" t="s">
        <v>165</v>
      </c>
      <c r="D3" s="7" t="s">
        <v>166</v>
      </c>
      <c r="E3" s="7" t="s">
        <v>167</v>
      </c>
      <c r="F3" s="7" t="s">
        <v>168</v>
      </c>
      <c r="G3" s="7" t="s">
        <v>169</v>
      </c>
    </row>
    <row r="4" spans="1:8" x14ac:dyDescent="0.3">
      <c r="A4" s="8">
        <v>2015</v>
      </c>
      <c r="B4" s="10">
        <v>5</v>
      </c>
      <c r="C4" s="8"/>
      <c r="D4" s="9">
        <f>AVERAGE($B$4:$B$14)</f>
        <v>3.5363636363636357</v>
      </c>
      <c r="E4" s="6">
        <f>ABS(B4-D4)</f>
        <v>1.4636363636363643</v>
      </c>
      <c r="F4" s="8" t="str">
        <f>IF(B4&gt;D4, "Peste medie", IF(B4&lt;D4, "Sub medie", "La medie"))</f>
        <v>Peste medie</v>
      </c>
      <c r="G4" s="8"/>
    </row>
    <row r="5" spans="1:8" x14ac:dyDescent="0.3">
      <c r="A5" s="8">
        <v>2016</v>
      </c>
      <c r="B5" s="10">
        <v>4.8</v>
      </c>
      <c r="C5" s="8">
        <f>B5-B4</f>
        <v>-0.20000000000000018</v>
      </c>
      <c r="D5" s="9">
        <f t="shared" ref="D5:D14" si="0">AVERAGE($B$4:$B$14)</f>
        <v>3.5363636363636357</v>
      </c>
      <c r="E5" s="6">
        <f t="shared" ref="E5:E14" si="1">ABS(B5-D5)</f>
        <v>1.2636363636363641</v>
      </c>
      <c r="F5" s="8" t="str">
        <f t="shared" ref="F5:F14" si="2">IF(B5&gt;D5, "Peste medie", IF(B5&lt;D5, "Sub medie", "La medie"))</f>
        <v>Peste medie</v>
      </c>
      <c r="G5" s="8" t="str">
        <f t="shared" ref="G5:G13" si="3">IF(B6&gt;B5,"Crestere",IF(B6&lt;B5,"Scadere","Constant"))</f>
        <v>Scadere</v>
      </c>
    </row>
    <row r="6" spans="1:8" x14ac:dyDescent="0.3">
      <c r="A6" s="8">
        <v>2017</v>
      </c>
      <c r="B6" s="10">
        <v>4</v>
      </c>
      <c r="C6" s="8">
        <f t="shared" ref="C6:C14" si="4">B6-B5</f>
        <v>-0.79999999999999982</v>
      </c>
      <c r="D6" s="9">
        <f t="shared" si="0"/>
        <v>3.5363636363636357</v>
      </c>
      <c r="E6" s="6">
        <f t="shared" si="1"/>
        <v>0.46363636363636429</v>
      </c>
      <c r="F6" s="8" t="str">
        <f t="shared" si="2"/>
        <v>Peste medie</v>
      </c>
      <c r="G6" s="8" t="str">
        <f t="shared" si="3"/>
        <v>Scadere</v>
      </c>
    </row>
    <row r="7" spans="1:8" x14ac:dyDescent="0.3">
      <c r="A7" s="8">
        <v>2018</v>
      </c>
      <c r="B7" s="10">
        <v>3.3</v>
      </c>
      <c r="C7" s="8">
        <f t="shared" si="4"/>
        <v>-0.70000000000000018</v>
      </c>
      <c r="D7" s="9">
        <f t="shared" si="0"/>
        <v>3.5363636363636357</v>
      </c>
      <c r="E7" s="6">
        <f t="shared" si="1"/>
        <v>0.23636363636363589</v>
      </c>
      <c r="F7" s="8" t="str">
        <f>IF(B7&gt;D7, "Peste medie", IF(B7&lt;D7, "Sub medie", "La medie"))</f>
        <v>Sub medie</v>
      </c>
      <c r="G7" s="8" t="str">
        <f t="shared" si="3"/>
        <v>Scadere</v>
      </c>
    </row>
    <row r="8" spans="1:8" x14ac:dyDescent="0.3">
      <c r="A8" s="8">
        <v>2019</v>
      </c>
      <c r="B8" s="10">
        <v>2.9</v>
      </c>
      <c r="C8" s="8">
        <f t="shared" si="4"/>
        <v>-0.39999999999999991</v>
      </c>
      <c r="D8" s="9">
        <f t="shared" si="0"/>
        <v>3.5363636363636357</v>
      </c>
      <c r="E8" s="6">
        <f t="shared" si="1"/>
        <v>0.6363636363636358</v>
      </c>
      <c r="F8" s="8" t="str">
        <f t="shared" si="2"/>
        <v>Sub medie</v>
      </c>
      <c r="G8" s="8" t="str">
        <f t="shared" si="3"/>
        <v>Crestere</v>
      </c>
    </row>
    <row r="9" spans="1:8" x14ac:dyDescent="0.3">
      <c r="A9" s="8">
        <v>2020</v>
      </c>
      <c r="B9" s="10">
        <v>3.4</v>
      </c>
      <c r="C9" s="8">
        <f t="shared" si="4"/>
        <v>0.5</v>
      </c>
      <c r="D9" s="9">
        <f t="shared" si="0"/>
        <v>3.5363636363636357</v>
      </c>
      <c r="E9" s="6">
        <f t="shared" si="1"/>
        <v>0.1363636363636358</v>
      </c>
      <c r="F9" s="8" t="str">
        <f t="shared" si="2"/>
        <v>Sub medie</v>
      </c>
      <c r="G9" s="8" t="str">
        <f t="shared" si="3"/>
        <v>Scadere</v>
      </c>
    </row>
    <row r="10" spans="1:8" x14ac:dyDescent="0.3">
      <c r="A10" s="8">
        <v>2021</v>
      </c>
      <c r="B10" s="10">
        <v>3</v>
      </c>
      <c r="C10" s="8">
        <f t="shared" si="4"/>
        <v>-0.39999999999999991</v>
      </c>
      <c r="D10" s="9">
        <f t="shared" si="0"/>
        <v>3.5363636363636357</v>
      </c>
      <c r="E10" s="6">
        <f t="shared" si="1"/>
        <v>0.53636363636363571</v>
      </c>
      <c r="F10" s="8" t="str">
        <f t="shared" si="2"/>
        <v>Sub medie</v>
      </c>
      <c r="G10" s="8" t="str">
        <f t="shared" si="3"/>
        <v>Constant</v>
      </c>
    </row>
    <row r="11" spans="1:8" x14ac:dyDescent="0.3">
      <c r="A11" s="8">
        <v>2022</v>
      </c>
      <c r="B11" s="10">
        <v>3</v>
      </c>
      <c r="C11" s="8">
        <f t="shared" si="4"/>
        <v>0</v>
      </c>
      <c r="D11" s="9">
        <f t="shared" si="0"/>
        <v>3.5363636363636357</v>
      </c>
      <c r="E11" s="6">
        <f t="shared" si="1"/>
        <v>0.53636363636363571</v>
      </c>
      <c r="F11" s="8" t="str">
        <f t="shared" si="2"/>
        <v>Sub medie</v>
      </c>
      <c r="G11" s="8" t="str">
        <f t="shared" si="3"/>
        <v>Scadere</v>
      </c>
    </row>
    <row r="12" spans="1:8" x14ac:dyDescent="0.3">
      <c r="A12" s="8">
        <v>2023</v>
      </c>
      <c r="B12" s="10">
        <v>2.9</v>
      </c>
      <c r="C12" s="8">
        <f t="shared" si="4"/>
        <v>-0.10000000000000009</v>
      </c>
      <c r="D12" s="9">
        <f t="shared" si="0"/>
        <v>3.5363636363636357</v>
      </c>
      <c r="E12" s="6">
        <f t="shared" si="1"/>
        <v>0.6363636363636358</v>
      </c>
      <c r="F12" s="8" t="str">
        <f t="shared" si="2"/>
        <v>Sub medie</v>
      </c>
      <c r="G12" s="8" t="str">
        <f t="shared" si="3"/>
        <v>Crestere</v>
      </c>
    </row>
    <row r="13" spans="1:8" x14ac:dyDescent="0.3">
      <c r="A13" s="8">
        <v>2024</v>
      </c>
      <c r="B13" s="10">
        <v>3.3</v>
      </c>
      <c r="C13" s="8">
        <f t="shared" si="4"/>
        <v>0.39999999999999991</v>
      </c>
      <c r="D13" s="9">
        <f t="shared" si="0"/>
        <v>3.5363636363636357</v>
      </c>
      <c r="E13" s="6">
        <f t="shared" si="1"/>
        <v>0.23636363636363589</v>
      </c>
      <c r="F13" s="8" t="str">
        <f t="shared" si="2"/>
        <v>Sub medie</v>
      </c>
      <c r="G13" s="8" t="str">
        <f t="shared" si="3"/>
        <v>Constant</v>
      </c>
    </row>
    <row r="14" spans="1:8" x14ac:dyDescent="0.3">
      <c r="A14" s="8">
        <v>2025</v>
      </c>
      <c r="B14" s="10">
        <v>3.3</v>
      </c>
      <c r="C14" s="8">
        <f t="shared" si="4"/>
        <v>0</v>
      </c>
      <c r="D14" s="9">
        <f t="shared" si="0"/>
        <v>3.5363636363636357</v>
      </c>
      <c r="E14" s="6">
        <f t="shared" si="1"/>
        <v>0.23636363636363589</v>
      </c>
      <c r="F14" s="8" t="str">
        <f t="shared" si="2"/>
        <v>Sub medie</v>
      </c>
      <c r="G14" s="8" t="s">
        <v>170</v>
      </c>
    </row>
    <row r="16" spans="1:8" ht="18" x14ac:dyDescent="0.35">
      <c r="A16" s="13" t="s">
        <v>178</v>
      </c>
      <c r="B16" s="13" t="s">
        <v>179</v>
      </c>
      <c r="C16" s="66"/>
      <c r="D16" s="66"/>
      <c r="E16" s="66"/>
      <c r="F16" s="2"/>
      <c r="G16" s="2"/>
      <c r="H16" s="2"/>
    </row>
    <row r="17" spans="1:8" x14ac:dyDescent="0.3">
      <c r="A17" s="14" t="s">
        <v>171</v>
      </c>
      <c r="B17" s="15">
        <f>AVERAGE(B4:B14)</f>
        <v>3.5363636363636357</v>
      </c>
      <c r="C17" s="2"/>
      <c r="D17" s="12"/>
      <c r="E17" s="2"/>
      <c r="F17" s="2"/>
      <c r="G17" s="2"/>
      <c r="H17" s="2"/>
    </row>
    <row r="18" spans="1:8" x14ac:dyDescent="0.3">
      <c r="A18" s="14" t="s">
        <v>172</v>
      </c>
      <c r="B18" s="15">
        <f>MEDIAN(B4:B14)</f>
        <v>3.3</v>
      </c>
      <c r="C18" s="2"/>
      <c r="D18" s="12"/>
      <c r="E18" s="2"/>
      <c r="F18" s="2"/>
      <c r="G18" s="2"/>
      <c r="H18" s="2"/>
    </row>
    <row r="19" spans="1:8" x14ac:dyDescent="0.3">
      <c r="A19" s="14" t="s">
        <v>173</v>
      </c>
      <c r="B19" s="15">
        <f>MIN(B4:B14)</f>
        <v>2.9</v>
      </c>
      <c r="C19" s="2"/>
      <c r="D19" s="12"/>
      <c r="E19" s="2"/>
      <c r="F19" s="2"/>
      <c r="G19" s="2"/>
      <c r="H19" s="2"/>
    </row>
    <row r="20" spans="1:8" x14ac:dyDescent="0.3">
      <c r="A20" s="14" t="s">
        <v>174</v>
      </c>
      <c r="B20" s="15">
        <f>MAX(B4:B14)</f>
        <v>5</v>
      </c>
      <c r="C20" s="2"/>
      <c r="D20" s="12"/>
      <c r="E20" s="2"/>
      <c r="F20" s="2"/>
      <c r="G20" s="2"/>
      <c r="H20" s="2"/>
    </row>
    <row r="21" spans="1:8" x14ac:dyDescent="0.3">
      <c r="A21" s="14" t="s">
        <v>175</v>
      </c>
      <c r="B21" s="15">
        <f>MAX(B4:B14)-MIN(B4:B14)</f>
        <v>2.1</v>
      </c>
      <c r="C21" s="2"/>
      <c r="D21" s="12"/>
      <c r="E21" s="2"/>
      <c r="F21" s="2"/>
      <c r="G21" s="2"/>
      <c r="H21" s="2"/>
    </row>
    <row r="22" spans="1:8" x14ac:dyDescent="0.3">
      <c r="A22" s="14" t="s">
        <v>176</v>
      </c>
      <c r="B22" s="15">
        <f>_xlfn.STDEV.S(B4:B14)</f>
        <v>0.74333401277316635</v>
      </c>
      <c r="C22" s="2"/>
      <c r="D22" s="2"/>
      <c r="E22" s="2"/>
      <c r="F22" s="2"/>
      <c r="G22" s="2"/>
      <c r="H22" s="2"/>
    </row>
    <row r="23" spans="1:8" x14ac:dyDescent="0.3">
      <c r="A23" s="14" t="s">
        <v>177</v>
      </c>
      <c r="B23" s="16">
        <f>_xlfn.STDEV.S(B4:B14)/AVERAGE(B4:B14)*100</f>
        <v>21.019727867621675</v>
      </c>
      <c r="C23" s="2"/>
      <c r="D23" s="12"/>
      <c r="E23" s="2"/>
      <c r="F23" s="2"/>
      <c r="G23" s="2"/>
      <c r="H23" s="2"/>
    </row>
    <row r="24" spans="1:8" x14ac:dyDescent="0.3">
      <c r="A24" s="14" t="s">
        <v>180</v>
      </c>
      <c r="B24" s="15">
        <f>COUNTA(A4:A14)</f>
        <v>11</v>
      </c>
      <c r="C24" s="2"/>
      <c r="D24" s="12"/>
      <c r="E24" s="2"/>
      <c r="F24" s="2"/>
      <c r="G24" s="2"/>
      <c r="H24" s="2"/>
    </row>
    <row r="25" spans="1:8" x14ac:dyDescent="0.3">
      <c r="A25" s="14" t="s">
        <v>181</v>
      </c>
      <c r="B25" s="14" t="s">
        <v>182</v>
      </c>
      <c r="C25" s="2"/>
      <c r="D25" s="12"/>
      <c r="E25" s="2"/>
      <c r="F25" s="2"/>
      <c r="G25" s="2"/>
      <c r="H25" s="2"/>
    </row>
    <row r="26" spans="1:8" x14ac:dyDescent="0.3">
      <c r="A26" s="17" t="s">
        <v>183</v>
      </c>
      <c r="B26" s="17" t="str">
        <f>IF(B23&lt;15, "Scazuta",IF(B23&lt;35, "Moderata", "Ridicata"))</f>
        <v>Moderata</v>
      </c>
    </row>
  </sheetData>
  <mergeCells count="3">
    <mergeCell ref="A1:G1"/>
    <mergeCell ref="A2:G2"/>
    <mergeCell ref="C16:E16"/>
  </mergeCells>
  <conditionalFormatting sqref="F3:F1048576">
    <cfRule type="containsText" dxfId="14" priority="11" operator="containsText" text="peste medie">
      <formula>NOT(ISERROR(SEARCH("peste medie",F3)))</formula>
    </cfRule>
    <cfRule type="containsText" dxfId="13" priority="12" operator="containsText" text="sub medie">
      <formula>NOT(ISERROR(SEARCH("sub medie",F3)))</formula>
    </cfRule>
  </conditionalFormatting>
  <conditionalFormatting sqref="G3:G1048576">
    <cfRule type="containsText" dxfId="12" priority="8" operator="containsText" text="constant">
      <formula>NOT(ISERROR(SEARCH("constant",G3)))</formula>
    </cfRule>
    <cfRule type="containsText" dxfId="11" priority="9" operator="containsText" text="crestere">
      <formula>NOT(ISERROR(SEARCH("crestere",G3)))</formula>
    </cfRule>
    <cfRule type="containsText" dxfId="10" priority="10" operator="containsText" text="scadere">
      <formula>NOT(ISERROR(SEARCH("scadere",G3)))</formula>
    </cfRule>
  </conditionalFormatting>
  <conditionalFormatting sqref="B4:B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14"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{1BEEA8D8-9B04-4229-90E5-A4649FF24A97}</x14:id>
        </ext>
      </extLst>
    </cfRule>
  </conditionalFormatting>
  <conditionalFormatting sqref="E4:E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{F4B4196F-24FB-407F-8246-880A9CA89D3F}</x14:id>
        </ext>
      </extLst>
    </cfRule>
  </conditionalFormatting>
  <conditionalFormatting sqref="G1:G1048576">
    <cfRule type="containsText" dxfId="9" priority="1" operator="containsText" text="scadere">
      <formula>NOT(ISERROR(SEARCH("scadere",G1)))</formula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EA8D8-9B04-4229-90E5-A4649FF24A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C4:C14</xm:sqref>
        </x14:conditionalFormatting>
        <x14:conditionalFormatting xmlns:xm="http://schemas.microsoft.com/office/excel/2006/main">
          <x14:cfRule type="dataBar" id="{F4B4196F-24FB-407F-8246-880A9CA89D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4DBA-62E9-459C-8F8A-20328D7238AA}">
  <dimension ref="A1:O26"/>
  <sheetViews>
    <sheetView showGridLines="0" workbookViewId="0">
      <selection activeCell="H28" sqref="H28"/>
    </sheetView>
  </sheetViews>
  <sheetFormatPr defaultRowHeight="14.4" x14ac:dyDescent="0.3"/>
  <sheetData>
    <row r="1" spans="1:15" ht="25.8" x14ac:dyDescent="0.5">
      <c r="A1" s="70" t="s">
        <v>188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4" spans="1:15" ht="14.4" customHeight="1" x14ac:dyDescent="0.3">
      <c r="A4" s="67" t="s">
        <v>190</v>
      </c>
      <c r="B4" s="67"/>
      <c r="C4" s="67"/>
      <c r="E4" s="67" t="s">
        <v>191</v>
      </c>
      <c r="F4" s="67"/>
      <c r="G4" s="67"/>
      <c r="I4" s="67" t="s">
        <v>171</v>
      </c>
      <c r="J4" s="67"/>
      <c r="K4" s="67"/>
      <c r="M4" s="67" t="s">
        <v>189</v>
      </c>
      <c r="N4" s="67"/>
      <c r="O4" s="34"/>
    </row>
    <row r="5" spans="1:15" ht="25.8" x14ac:dyDescent="0.3">
      <c r="A5" s="69">
        <v>3.4780000000000002</v>
      </c>
      <c r="B5" s="69"/>
      <c r="C5" s="69"/>
      <c r="E5" s="72">
        <f>Inflatie!B14</f>
        <v>5.2018181818181821</v>
      </c>
      <c r="F5" s="72"/>
      <c r="G5" s="72"/>
      <c r="I5" s="68">
        <f>Somaj!B17</f>
        <v>3.5363636363636357</v>
      </c>
      <c r="J5" s="69"/>
      <c r="K5" s="69"/>
      <c r="M5" s="69">
        <f>2025-2015+1</f>
        <v>11</v>
      </c>
      <c r="N5" s="69"/>
      <c r="O5" s="34"/>
    </row>
    <row r="6" spans="1:15" x14ac:dyDescent="0.3">
      <c r="A6" s="37"/>
      <c r="B6" s="37"/>
      <c r="C6" s="37"/>
      <c r="E6" s="37"/>
      <c r="F6" s="37"/>
      <c r="G6" s="37"/>
      <c r="I6" s="37"/>
      <c r="J6" s="37"/>
      <c r="K6" s="37"/>
      <c r="M6" s="37"/>
      <c r="N6" s="37"/>
      <c r="O6" s="34"/>
    </row>
    <row r="26" spans="1:1" x14ac:dyDescent="0.3">
      <c r="A26" t="s">
        <v>192</v>
      </c>
    </row>
  </sheetData>
  <mergeCells count="9">
    <mergeCell ref="M4:N4"/>
    <mergeCell ref="I5:K5"/>
    <mergeCell ref="M5:N5"/>
    <mergeCell ref="A1:N1"/>
    <mergeCell ref="A4:C4"/>
    <mergeCell ref="E4:G4"/>
    <mergeCell ref="E5:G5"/>
    <mergeCell ref="A5:C5"/>
    <mergeCell ref="I4:K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selection activeCell="C4" sqref="C4:G7"/>
    </sheetView>
  </sheetViews>
  <sheetFormatPr defaultRowHeight="18" x14ac:dyDescent="0.35"/>
  <cols>
    <col min="1" max="1" width="8.88671875" style="3"/>
    <col min="2" max="8" width="18.77734375" customWidth="1"/>
  </cols>
  <sheetData>
    <row r="1" spans="1:8" ht="24" customHeight="1" x14ac:dyDescent="0.45">
      <c r="A1" s="73" t="s">
        <v>198</v>
      </c>
      <c r="B1" s="73"/>
      <c r="C1" s="73"/>
      <c r="D1" s="73"/>
      <c r="E1" s="73"/>
      <c r="F1" s="73"/>
      <c r="G1" s="73"/>
      <c r="H1" s="73"/>
    </row>
    <row r="2" spans="1:8" x14ac:dyDescent="0.35">
      <c r="B2" s="3"/>
    </row>
    <row r="3" spans="1:8" s="2" customFormat="1" ht="18" customHeight="1" x14ac:dyDescent="0.35">
      <c r="A3" s="74" t="s">
        <v>193</v>
      </c>
      <c r="B3" s="74"/>
      <c r="C3" s="74"/>
      <c r="D3" s="74"/>
      <c r="E3" s="74"/>
      <c r="F3" s="74"/>
      <c r="G3" s="74"/>
      <c r="H3" s="74"/>
    </row>
    <row r="4" spans="1:8" ht="24" customHeight="1" x14ac:dyDescent="0.35">
      <c r="B4" s="38"/>
      <c r="C4" s="76" t="s">
        <v>194</v>
      </c>
      <c r="D4" s="76"/>
      <c r="E4" s="76"/>
      <c r="F4" s="76"/>
      <c r="G4" s="76"/>
      <c r="H4" s="38"/>
    </row>
    <row r="5" spans="1:8" ht="24" customHeight="1" x14ac:dyDescent="0.35">
      <c r="B5" s="38"/>
      <c r="C5" s="76"/>
      <c r="D5" s="76"/>
      <c r="E5" s="76"/>
      <c r="F5" s="76"/>
      <c r="G5" s="76"/>
      <c r="H5" s="38"/>
    </row>
    <row r="6" spans="1:8" ht="24" customHeight="1" x14ac:dyDescent="0.35">
      <c r="B6" s="38"/>
      <c r="C6" s="76"/>
      <c r="D6" s="76"/>
      <c r="E6" s="76"/>
      <c r="F6" s="76"/>
      <c r="G6" s="76"/>
      <c r="H6" s="38"/>
    </row>
    <row r="7" spans="1:8" ht="24" customHeight="1" x14ac:dyDescent="0.35">
      <c r="B7" s="38"/>
      <c r="C7" s="76"/>
      <c r="D7" s="76"/>
      <c r="E7" s="76"/>
      <c r="F7" s="76"/>
      <c r="G7" s="76"/>
      <c r="H7" s="38"/>
    </row>
    <row r="9" spans="1:8" ht="24" customHeight="1" x14ac:dyDescent="0.35">
      <c r="A9" s="75" t="s">
        <v>195</v>
      </c>
      <c r="B9" s="75"/>
      <c r="C9" s="75"/>
      <c r="D9" s="75"/>
      <c r="E9" s="75"/>
      <c r="F9" s="75"/>
      <c r="G9" s="75"/>
      <c r="H9" s="75"/>
    </row>
    <row r="10" spans="1:8" ht="22.05" customHeight="1" x14ac:dyDescent="0.35">
      <c r="B10" s="39"/>
      <c r="C10" s="76" t="s">
        <v>202</v>
      </c>
      <c r="D10" s="76"/>
      <c r="E10" s="76"/>
      <c r="F10" s="76"/>
      <c r="G10" s="76"/>
      <c r="H10" s="39"/>
    </row>
    <row r="11" spans="1:8" ht="22.05" customHeight="1" x14ac:dyDescent="0.35">
      <c r="B11" s="39"/>
      <c r="C11" s="76"/>
      <c r="D11" s="76"/>
      <c r="E11" s="76"/>
      <c r="F11" s="76"/>
      <c r="G11" s="76"/>
      <c r="H11" s="39"/>
    </row>
    <row r="12" spans="1:8" ht="22.05" customHeight="1" x14ac:dyDescent="0.35">
      <c r="B12" s="39"/>
      <c r="C12" s="76"/>
      <c r="D12" s="76"/>
      <c r="E12" s="76"/>
      <c r="F12" s="76"/>
      <c r="G12" s="76"/>
      <c r="H12" s="39"/>
    </row>
    <row r="13" spans="1:8" x14ac:dyDescent="0.35">
      <c r="C13" s="39"/>
      <c r="D13" s="39"/>
      <c r="E13" s="39"/>
      <c r="F13" s="39"/>
      <c r="G13" s="39"/>
    </row>
    <row r="14" spans="1:8" ht="24" customHeight="1" x14ac:dyDescent="0.35">
      <c r="A14" s="74" t="s">
        <v>196</v>
      </c>
      <c r="B14" s="74"/>
      <c r="C14" s="74"/>
      <c r="D14" s="74"/>
      <c r="E14" s="74"/>
      <c r="F14" s="74"/>
      <c r="G14" s="74"/>
      <c r="H14" s="74"/>
    </row>
    <row r="15" spans="1:8" ht="18" customHeight="1" x14ac:dyDescent="0.35">
      <c r="B15" s="40"/>
      <c r="C15" s="76" t="s">
        <v>197</v>
      </c>
      <c r="D15" s="76"/>
      <c r="E15" s="76"/>
      <c r="F15" s="76"/>
      <c r="G15" s="76"/>
      <c r="H15" s="40"/>
    </row>
    <row r="16" spans="1:8" x14ac:dyDescent="0.35">
      <c r="B16" s="40"/>
      <c r="C16" s="76"/>
      <c r="D16" s="76"/>
      <c r="E16" s="76"/>
      <c r="F16" s="76"/>
      <c r="G16" s="76"/>
      <c r="H16" s="40"/>
    </row>
    <row r="17" spans="1:8" x14ac:dyDescent="0.35">
      <c r="B17" s="40"/>
      <c r="C17" s="76"/>
      <c r="D17" s="76"/>
      <c r="E17" s="76"/>
      <c r="F17" s="76"/>
      <c r="G17" s="76"/>
      <c r="H17" s="40"/>
    </row>
    <row r="18" spans="1:8" x14ac:dyDescent="0.35">
      <c r="C18" s="76"/>
      <c r="D18" s="76"/>
      <c r="E18" s="76"/>
      <c r="F18" s="76"/>
      <c r="G18" s="76"/>
    </row>
    <row r="20" spans="1:8" ht="24" customHeight="1" x14ac:dyDescent="0.3">
      <c r="A20" s="78" t="s">
        <v>200</v>
      </c>
      <c r="B20" s="79"/>
      <c r="C20" s="79"/>
      <c r="D20" s="79"/>
      <c r="E20" s="79"/>
      <c r="F20" s="79"/>
      <c r="G20" s="79"/>
      <c r="H20" s="79"/>
    </row>
    <row r="21" spans="1:8" x14ac:dyDescent="0.35">
      <c r="B21" s="41"/>
      <c r="C21" s="77" t="s">
        <v>199</v>
      </c>
      <c r="D21" s="77"/>
      <c r="E21" s="77"/>
      <c r="F21" s="77"/>
      <c r="G21" s="77"/>
      <c r="H21" s="41"/>
    </row>
    <row r="22" spans="1:8" x14ac:dyDescent="0.35">
      <c r="B22" s="41"/>
      <c r="C22" s="77"/>
      <c r="D22" s="77"/>
      <c r="E22" s="77"/>
      <c r="F22" s="77"/>
      <c r="G22" s="77"/>
      <c r="H22" s="41"/>
    </row>
    <row r="23" spans="1:8" x14ac:dyDescent="0.35">
      <c r="B23" s="41"/>
      <c r="C23" s="77"/>
      <c r="D23" s="77"/>
      <c r="E23" s="77"/>
      <c r="F23" s="77"/>
      <c r="G23" s="77"/>
      <c r="H23" s="41"/>
    </row>
    <row r="24" spans="1:8" x14ac:dyDescent="0.35">
      <c r="B24" s="41"/>
      <c r="C24" s="77"/>
      <c r="D24" s="77"/>
      <c r="E24" s="77"/>
      <c r="F24" s="77"/>
      <c r="G24" s="77"/>
      <c r="H24" s="41"/>
    </row>
    <row r="25" spans="1:8" x14ac:dyDescent="0.35">
      <c r="B25" s="41"/>
      <c r="C25" s="77"/>
      <c r="D25" s="77"/>
      <c r="E25" s="77"/>
      <c r="F25" s="77"/>
      <c r="G25" s="77"/>
      <c r="H25" s="41"/>
    </row>
    <row r="26" spans="1:8" x14ac:dyDescent="0.35">
      <c r="B26" s="41"/>
      <c r="C26" s="77"/>
      <c r="D26" s="77"/>
      <c r="E26" s="77"/>
      <c r="F26" s="77"/>
      <c r="G26" s="77"/>
      <c r="H26" s="41"/>
    </row>
    <row r="27" spans="1:8" x14ac:dyDescent="0.35">
      <c r="B27" s="41"/>
      <c r="C27" s="77"/>
      <c r="D27" s="77"/>
      <c r="E27" s="77"/>
      <c r="F27" s="77"/>
      <c r="G27" s="77"/>
      <c r="H27" s="41"/>
    </row>
    <row r="28" spans="1:8" x14ac:dyDescent="0.35">
      <c r="B28" s="41"/>
      <c r="C28" s="41"/>
      <c r="D28" s="41"/>
      <c r="E28" s="41"/>
      <c r="F28" s="41"/>
      <c r="G28" s="41"/>
      <c r="H28" s="41"/>
    </row>
    <row r="29" spans="1:8" x14ac:dyDescent="0.35">
      <c r="B29" s="41"/>
      <c r="C29" s="41"/>
      <c r="D29" s="41"/>
      <c r="E29" s="41"/>
      <c r="F29" s="41"/>
      <c r="G29" s="41"/>
      <c r="H29" s="41"/>
    </row>
    <row r="30" spans="1:8" x14ac:dyDescent="0.35">
      <c r="B30" s="41"/>
      <c r="C30" s="41"/>
      <c r="D30" s="41"/>
      <c r="E30" s="41"/>
      <c r="F30" s="41"/>
      <c r="G30" s="41"/>
      <c r="H30" s="41"/>
    </row>
    <row r="31" spans="1:8" x14ac:dyDescent="0.35">
      <c r="B31" s="41"/>
      <c r="C31" s="41"/>
      <c r="D31" s="41"/>
      <c r="E31" s="41"/>
      <c r="F31" s="41"/>
      <c r="G31" s="41"/>
      <c r="H31" s="41"/>
    </row>
    <row r="41" spans="3:3" x14ac:dyDescent="0.35">
      <c r="C41" t="s">
        <v>201</v>
      </c>
    </row>
  </sheetData>
  <mergeCells count="9">
    <mergeCell ref="A1:H1"/>
    <mergeCell ref="A3:H3"/>
    <mergeCell ref="A9:H9"/>
    <mergeCell ref="C4:G7"/>
    <mergeCell ref="C21:G27"/>
    <mergeCell ref="A14:H14"/>
    <mergeCell ref="A20:H20"/>
    <mergeCell ref="C10:G12"/>
    <mergeCell ref="C15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DD4-A85E-4A7F-8792-E17BDA8EEA1F}">
  <dimension ref="A1:R47"/>
  <sheetViews>
    <sheetView tabSelected="1" topLeftCell="A35" workbookViewId="0">
      <selection activeCell="D44" sqref="D44"/>
    </sheetView>
  </sheetViews>
  <sheetFormatPr defaultRowHeight="14.4" x14ac:dyDescent="0.3"/>
  <cols>
    <col min="2" max="8" width="16.77734375" customWidth="1"/>
  </cols>
  <sheetData>
    <row r="1" spans="1:18" ht="30" customHeight="1" x14ac:dyDescent="0.3">
      <c r="A1" s="36"/>
      <c r="B1" s="80" t="s">
        <v>205</v>
      </c>
      <c r="C1" s="80"/>
      <c r="D1" s="80"/>
      <c r="E1" s="80"/>
      <c r="F1" s="80"/>
      <c r="G1" s="80"/>
      <c r="H1" s="80"/>
      <c r="I1" s="80"/>
      <c r="J1" s="80"/>
      <c r="M1" s="34"/>
      <c r="N1" s="34"/>
      <c r="O1" s="34"/>
      <c r="P1" s="34"/>
      <c r="Q1" s="34"/>
      <c r="R1" s="34"/>
    </row>
    <row r="2" spans="1:18" x14ac:dyDescent="0.3">
      <c r="M2" s="34"/>
      <c r="N2" s="34"/>
      <c r="O2" s="34"/>
      <c r="P2" s="34"/>
      <c r="Q2" s="34"/>
      <c r="R2" s="34"/>
    </row>
    <row r="3" spans="1:18" ht="24" customHeight="1" x14ac:dyDescent="0.3">
      <c r="B3" s="81" t="s">
        <v>206</v>
      </c>
      <c r="C3" s="81"/>
      <c r="D3" s="81"/>
      <c r="E3" s="81"/>
      <c r="F3" s="81"/>
      <c r="G3" s="81"/>
      <c r="H3" s="81"/>
      <c r="I3" s="81"/>
      <c r="J3" s="81"/>
      <c r="M3" s="82" t="s">
        <v>253</v>
      </c>
      <c r="N3" s="82"/>
      <c r="O3" s="82"/>
      <c r="P3" s="82"/>
      <c r="Q3" s="82"/>
      <c r="R3" s="34"/>
    </row>
    <row r="4" spans="1:18" ht="30" customHeight="1" x14ac:dyDescent="0.3">
      <c r="B4" s="87" t="s">
        <v>207</v>
      </c>
      <c r="C4" s="88"/>
      <c r="D4" s="88"/>
      <c r="E4" s="88"/>
      <c r="F4" s="88"/>
      <c r="G4" s="88"/>
      <c r="H4" s="89"/>
      <c r="M4" s="82"/>
      <c r="N4" s="82"/>
      <c r="O4" s="82"/>
      <c r="P4" s="82"/>
      <c r="Q4" s="82"/>
      <c r="R4" s="34"/>
    </row>
    <row r="5" spans="1:18" ht="30" customHeight="1" x14ac:dyDescent="0.3">
      <c r="B5" s="90"/>
      <c r="C5" s="91"/>
      <c r="D5" s="91"/>
      <c r="E5" s="91"/>
      <c r="F5" s="91"/>
      <c r="G5" s="91"/>
      <c r="H5" s="92"/>
      <c r="M5" s="82"/>
      <c r="N5" s="82"/>
      <c r="O5" s="82"/>
      <c r="P5" s="82"/>
      <c r="Q5" s="82"/>
      <c r="R5" s="34"/>
    </row>
    <row r="6" spans="1:18" ht="30" customHeight="1" x14ac:dyDescent="0.3">
      <c r="B6" s="93"/>
      <c r="C6" s="94"/>
      <c r="D6" s="94"/>
      <c r="E6" s="94"/>
      <c r="F6" s="94"/>
      <c r="G6" s="94"/>
      <c r="H6" s="95"/>
      <c r="M6" s="82"/>
      <c r="N6" s="82"/>
      <c r="O6" s="82"/>
      <c r="P6" s="82"/>
      <c r="Q6" s="82"/>
      <c r="R6" s="34"/>
    </row>
    <row r="7" spans="1:18" x14ac:dyDescent="0.3">
      <c r="M7" s="34"/>
      <c r="N7" s="34"/>
      <c r="O7" s="34"/>
      <c r="P7" s="34"/>
      <c r="Q7" s="34"/>
      <c r="R7" s="34"/>
    </row>
    <row r="8" spans="1:18" ht="24" customHeight="1" x14ac:dyDescent="0.3">
      <c r="B8" s="86" t="s">
        <v>203</v>
      </c>
      <c r="C8" s="86"/>
      <c r="D8" s="86"/>
      <c r="E8" s="86"/>
      <c r="F8" s="86"/>
      <c r="G8" s="86"/>
      <c r="H8" s="86"/>
      <c r="I8" s="86"/>
      <c r="J8" s="86"/>
      <c r="M8" s="34"/>
      <c r="N8" s="34"/>
      <c r="O8" s="34"/>
      <c r="P8" s="34"/>
      <c r="Q8" s="34"/>
      <c r="R8" s="34"/>
    </row>
    <row r="9" spans="1:18" ht="30" customHeight="1" x14ac:dyDescent="0.3">
      <c r="B9" s="42"/>
      <c r="C9" s="43"/>
      <c r="D9" s="43"/>
      <c r="E9" s="43"/>
      <c r="F9" s="43"/>
      <c r="G9" s="43"/>
      <c r="H9" s="44"/>
      <c r="M9" s="34"/>
      <c r="N9" s="34"/>
      <c r="O9" s="34"/>
      <c r="P9" s="34"/>
      <c r="Q9" s="34"/>
      <c r="R9" s="34"/>
    </row>
    <row r="10" spans="1:18" ht="30" customHeight="1" x14ac:dyDescent="0.3">
      <c r="B10" s="50" t="s">
        <v>208</v>
      </c>
      <c r="C10" s="51"/>
      <c r="D10" s="51"/>
      <c r="E10" s="45"/>
      <c r="F10" s="45"/>
      <c r="G10" s="45"/>
      <c r="H10" s="46"/>
      <c r="M10" s="34"/>
      <c r="N10" s="34"/>
      <c r="O10" s="34"/>
      <c r="P10" s="34"/>
      <c r="Q10" s="34"/>
      <c r="R10" s="34"/>
    </row>
    <row r="11" spans="1:18" ht="30" customHeight="1" x14ac:dyDescent="0.3">
      <c r="B11" s="50" t="s">
        <v>209</v>
      </c>
      <c r="C11" s="51"/>
      <c r="D11" s="51"/>
      <c r="E11" s="45"/>
      <c r="F11" s="45"/>
      <c r="G11" s="45"/>
      <c r="H11" s="46"/>
    </row>
    <row r="12" spans="1:18" ht="30" customHeight="1" x14ac:dyDescent="0.3">
      <c r="B12" s="47"/>
      <c r="C12" s="48"/>
      <c r="D12" s="48"/>
      <c r="E12" s="48"/>
      <c r="F12" s="48"/>
      <c r="G12" s="48"/>
      <c r="H12" s="49"/>
    </row>
    <row r="14" spans="1:18" ht="24" customHeight="1" x14ac:dyDescent="0.3">
      <c r="B14" s="86" t="s">
        <v>204</v>
      </c>
      <c r="C14" s="86"/>
      <c r="D14" s="86"/>
      <c r="E14" s="86"/>
      <c r="F14" s="86"/>
      <c r="G14" s="86"/>
      <c r="H14" s="86"/>
      <c r="I14" s="86"/>
      <c r="J14" s="86"/>
    </row>
    <row r="15" spans="1:18" ht="30" customHeight="1" x14ac:dyDescent="0.3">
      <c r="B15" s="42" t="s">
        <v>210</v>
      </c>
      <c r="C15" s="43"/>
      <c r="D15" s="43"/>
      <c r="E15" s="43"/>
      <c r="F15" s="43"/>
      <c r="G15" s="43"/>
      <c r="H15" s="44"/>
    </row>
    <row r="16" spans="1:18" ht="30" customHeight="1" x14ac:dyDescent="0.3">
      <c r="B16" s="52" t="s">
        <v>211</v>
      </c>
      <c r="C16" s="45"/>
      <c r="D16" s="45"/>
      <c r="E16" s="45"/>
      <c r="F16" s="45"/>
      <c r="G16" s="45"/>
      <c r="H16" s="46"/>
    </row>
    <row r="17" spans="2:10" ht="30" customHeight="1" x14ac:dyDescent="0.3">
      <c r="B17" s="47" t="s">
        <v>212</v>
      </c>
      <c r="C17" s="48"/>
      <c r="D17" s="48"/>
      <c r="E17" s="48"/>
      <c r="F17" s="48"/>
      <c r="G17" s="48"/>
      <c r="H17" s="49"/>
    </row>
    <row r="19" spans="2:10" ht="24" customHeight="1" x14ac:dyDescent="0.3">
      <c r="B19" s="81" t="s">
        <v>213</v>
      </c>
      <c r="C19" s="81"/>
      <c r="D19" s="81"/>
      <c r="E19" s="81"/>
      <c r="F19" s="81"/>
      <c r="G19" s="81"/>
      <c r="H19" s="81"/>
      <c r="I19" s="81"/>
      <c r="J19" s="81"/>
    </row>
    <row r="21" spans="2:10" ht="30" customHeight="1" x14ac:dyDescent="0.3">
      <c r="B21" s="53" t="s">
        <v>214</v>
      </c>
      <c r="C21" s="43"/>
      <c r="D21" s="43"/>
      <c r="E21" s="54" t="s">
        <v>220</v>
      </c>
      <c r="F21" s="43"/>
      <c r="G21" s="54" t="s">
        <v>227</v>
      </c>
      <c r="H21" s="43"/>
      <c r="I21" s="43"/>
      <c r="J21" s="44"/>
    </row>
    <row r="22" spans="2:10" ht="30" customHeight="1" x14ac:dyDescent="0.3">
      <c r="B22" s="83" t="s">
        <v>215</v>
      </c>
      <c r="C22" s="84"/>
      <c r="D22" s="45"/>
      <c r="E22" s="84" t="s">
        <v>221</v>
      </c>
      <c r="F22" s="84"/>
      <c r="G22" s="84" t="s">
        <v>231</v>
      </c>
      <c r="H22" s="84"/>
      <c r="I22" s="84"/>
      <c r="J22" s="85"/>
    </row>
    <row r="23" spans="2:10" ht="30" customHeight="1" x14ac:dyDescent="0.3">
      <c r="B23" s="55" t="s">
        <v>216</v>
      </c>
      <c r="C23" s="45"/>
      <c r="D23" s="45"/>
      <c r="E23" s="56" t="s">
        <v>223</v>
      </c>
      <c r="F23" s="45"/>
      <c r="G23" s="57" t="s">
        <v>222</v>
      </c>
      <c r="H23" s="45"/>
      <c r="I23" s="45"/>
      <c r="J23" s="46"/>
    </row>
    <row r="24" spans="2:10" ht="30" customHeight="1" x14ac:dyDescent="0.3">
      <c r="B24" s="52" t="s">
        <v>217</v>
      </c>
      <c r="C24" s="45"/>
      <c r="D24" s="45"/>
      <c r="E24" s="45" t="s">
        <v>224</v>
      </c>
      <c r="F24" s="45"/>
      <c r="G24" s="45" t="s">
        <v>228</v>
      </c>
      <c r="H24" s="45"/>
      <c r="I24" s="45"/>
      <c r="J24" s="46"/>
    </row>
    <row r="25" spans="2:10" ht="30" customHeight="1" x14ac:dyDescent="0.3">
      <c r="B25" s="52" t="s">
        <v>218</v>
      </c>
      <c r="C25" s="45"/>
      <c r="D25" s="45"/>
      <c r="E25" s="45" t="s">
        <v>225</v>
      </c>
      <c r="F25" s="45"/>
      <c r="G25" s="45" t="s">
        <v>229</v>
      </c>
      <c r="H25" s="45"/>
      <c r="I25" s="45"/>
      <c r="J25" s="46"/>
    </row>
    <row r="26" spans="2:10" ht="30" customHeight="1" x14ac:dyDescent="0.3">
      <c r="B26" s="47" t="s">
        <v>219</v>
      </c>
      <c r="C26" s="48"/>
      <c r="D26" s="48"/>
      <c r="E26" s="48" t="s">
        <v>226</v>
      </c>
      <c r="F26" s="48"/>
      <c r="G26" s="48"/>
      <c r="H26" s="48"/>
      <c r="I26" s="48"/>
      <c r="J26" s="49"/>
    </row>
    <row r="27" spans="2:10" ht="30" customHeight="1" x14ac:dyDescent="0.3"/>
    <row r="28" spans="2:10" ht="30" customHeight="1" x14ac:dyDescent="0.3">
      <c r="B28" s="53" t="s">
        <v>230</v>
      </c>
      <c r="C28" s="43"/>
      <c r="D28" s="43"/>
      <c r="E28" s="54" t="s">
        <v>236</v>
      </c>
      <c r="F28" s="43"/>
      <c r="G28" s="44"/>
    </row>
    <row r="29" spans="2:10" ht="30" customHeight="1" x14ac:dyDescent="0.3">
      <c r="B29" s="58" t="s">
        <v>232</v>
      </c>
      <c r="C29" s="45"/>
      <c r="D29" s="45"/>
      <c r="E29" s="59" t="s">
        <v>237</v>
      </c>
      <c r="F29" s="45"/>
      <c r="G29" s="46"/>
    </row>
    <row r="30" spans="2:10" ht="30" customHeight="1" x14ac:dyDescent="0.3">
      <c r="B30" s="60" t="s">
        <v>233</v>
      </c>
      <c r="C30" s="45"/>
      <c r="D30" s="45"/>
      <c r="E30" s="57" t="s">
        <v>233</v>
      </c>
      <c r="F30" s="45"/>
      <c r="G30" s="46"/>
    </row>
    <row r="31" spans="2:10" ht="30" customHeight="1" x14ac:dyDescent="0.3">
      <c r="B31" s="52" t="s">
        <v>234</v>
      </c>
      <c r="C31" s="45"/>
      <c r="D31" s="45"/>
      <c r="E31" s="45" t="s">
        <v>238</v>
      </c>
      <c r="F31" s="45"/>
      <c r="G31" s="46"/>
    </row>
    <row r="32" spans="2:10" ht="30" customHeight="1" x14ac:dyDescent="0.3">
      <c r="B32" s="52" t="s">
        <v>235</v>
      </c>
      <c r="C32" s="45"/>
      <c r="D32" s="45"/>
      <c r="E32" s="45" t="s">
        <v>239</v>
      </c>
      <c r="F32" s="45"/>
      <c r="G32" s="46"/>
    </row>
    <row r="33" spans="2:8" ht="30" customHeight="1" x14ac:dyDescent="0.3">
      <c r="B33" s="52"/>
      <c r="C33" s="45"/>
      <c r="D33" s="45"/>
      <c r="E33" s="45" t="s">
        <v>240</v>
      </c>
      <c r="F33" s="45"/>
      <c r="G33" s="46"/>
    </row>
    <row r="34" spans="2:8" ht="30" customHeight="1" x14ac:dyDescent="0.3">
      <c r="B34" s="47"/>
      <c r="C34" s="48"/>
      <c r="D34" s="48"/>
      <c r="E34" s="48" t="s">
        <v>241</v>
      </c>
      <c r="F34" s="48"/>
      <c r="G34" s="49"/>
    </row>
    <row r="36" spans="2:8" ht="24" customHeight="1" x14ac:dyDescent="0.3">
      <c r="B36" s="86" t="s">
        <v>242</v>
      </c>
      <c r="C36" s="86"/>
      <c r="D36" s="86"/>
      <c r="E36" s="86"/>
      <c r="F36" s="86"/>
      <c r="G36" s="86"/>
      <c r="H36" s="86"/>
    </row>
    <row r="37" spans="2:8" ht="30" customHeight="1" x14ac:dyDescent="0.3">
      <c r="B37" s="42" t="s">
        <v>243</v>
      </c>
      <c r="C37" s="43"/>
      <c r="D37" s="43" t="s">
        <v>254</v>
      </c>
      <c r="E37" s="43"/>
      <c r="F37" s="43"/>
      <c r="G37" s="43"/>
      <c r="H37" s="44"/>
    </row>
    <row r="38" spans="2:8" ht="30" customHeight="1" x14ac:dyDescent="0.3">
      <c r="B38" s="52" t="s">
        <v>244</v>
      </c>
      <c r="C38" s="45"/>
      <c r="D38" s="45" t="s">
        <v>255</v>
      </c>
      <c r="E38" s="45"/>
      <c r="F38" s="45"/>
      <c r="G38" s="45"/>
      <c r="H38" s="46"/>
    </row>
    <row r="39" spans="2:8" ht="30" customHeight="1" x14ac:dyDescent="0.3">
      <c r="B39" s="52" t="s">
        <v>245</v>
      </c>
      <c r="C39" s="45"/>
      <c r="D39" s="45" t="s">
        <v>256</v>
      </c>
      <c r="E39" s="45"/>
      <c r="F39" s="45"/>
      <c r="G39" s="45"/>
      <c r="H39" s="46"/>
    </row>
    <row r="40" spans="2:8" ht="30" customHeight="1" x14ac:dyDescent="0.3">
      <c r="B40" s="52" t="s">
        <v>246</v>
      </c>
      <c r="C40" s="45"/>
      <c r="D40" s="45"/>
      <c r="E40" s="45"/>
      <c r="F40" s="45"/>
      <c r="G40" s="45"/>
      <c r="H40" s="46"/>
    </row>
    <row r="41" spans="2:8" ht="30" customHeight="1" x14ac:dyDescent="0.3">
      <c r="B41" s="52" t="s">
        <v>247</v>
      </c>
      <c r="C41" s="45"/>
      <c r="D41" s="45"/>
      <c r="E41" s="45"/>
      <c r="F41" s="45"/>
      <c r="G41" s="45"/>
      <c r="H41" s="46"/>
    </row>
    <row r="42" spans="2:8" ht="30" customHeight="1" x14ac:dyDescent="0.3">
      <c r="B42" s="52" t="s">
        <v>248</v>
      </c>
      <c r="C42" s="45"/>
      <c r="D42" s="45"/>
      <c r="E42" s="45"/>
      <c r="F42" s="45"/>
      <c r="G42" s="45"/>
      <c r="H42" s="46"/>
    </row>
    <row r="43" spans="2:8" ht="30" customHeight="1" x14ac:dyDescent="0.3">
      <c r="B43" s="52" t="s">
        <v>249</v>
      </c>
      <c r="C43" s="45"/>
      <c r="D43" s="45"/>
      <c r="E43" s="45"/>
      <c r="F43" s="45"/>
      <c r="G43" s="45"/>
      <c r="H43" s="46"/>
    </row>
    <row r="44" spans="2:8" ht="30" customHeight="1" x14ac:dyDescent="0.3">
      <c r="B44" s="52" t="s">
        <v>250</v>
      </c>
      <c r="C44" s="45"/>
      <c r="D44" s="45"/>
      <c r="E44" s="45"/>
      <c r="F44" s="45"/>
      <c r="G44" s="45"/>
      <c r="H44" s="46"/>
    </row>
    <row r="45" spans="2:8" ht="30" customHeight="1" x14ac:dyDescent="0.3">
      <c r="B45" s="52" t="s">
        <v>251</v>
      </c>
      <c r="C45" s="45"/>
      <c r="D45" s="45"/>
      <c r="E45" s="45"/>
      <c r="F45" s="45"/>
      <c r="G45" s="45"/>
      <c r="H45" s="46"/>
    </row>
    <row r="46" spans="2:8" ht="30" customHeight="1" x14ac:dyDescent="0.3">
      <c r="B46" s="47" t="s">
        <v>252</v>
      </c>
      <c r="C46" s="48"/>
      <c r="D46" s="48"/>
      <c r="E46" s="48"/>
      <c r="F46" s="48"/>
      <c r="G46" s="48"/>
      <c r="H46" s="49"/>
    </row>
    <row r="47" spans="2:8" ht="30" customHeight="1" x14ac:dyDescent="0.3"/>
  </sheetData>
  <mergeCells count="11">
    <mergeCell ref="B36:H36"/>
    <mergeCell ref="B19:J19"/>
    <mergeCell ref="B14:J14"/>
    <mergeCell ref="B4:H6"/>
    <mergeCell ref="B8:J8"/>
    <mergeCell ref="B1:J1"/>
    <mergeCell ref="B3:J3"/>
    <mergeCell ref="M3:Q6"/>
    <mergeCell ref="B22:C22"/>
    <mergeCell ref="E22:F22"/>
    <mergeCell ref="G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7</vt:i4>
      </vt:variant>
    </vt:vector>
  </HeadingPairs>
  <TitlesOfParts>
    <vt:vector size="7" baseType="lpstr">
      <vt:lpstr>Date brute</vt:lpstr>
      <vt:lpstr>Analiza salariului mediu</vt:lpstr>
      <vt:lpstr>Inflatie</vt:lpstr>
      <vt:lpstr>Somaj</vt:lpstr>
      <vt:lpstr>Dashboard</vt:lpstr>
      <vt:lpstr>Concluzii</vt:lpstr>
      <vt:lpstr>Metodologie si Instrumente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</dc:creator>
  <cp:lastModifiedBy>Amalia Radulescu</cp:lastModifiedBy>
  <dcterms:created xsi:type="dcterms:W3CDTF">2026-06-23T18:20:03Z</dcterms:created>
  <dcterms:modified xsi:type="dcterms:W3CDTF">2026-06-26T16:05:25Z</dcterms:modified>
</cp:coreProperties>
</file>